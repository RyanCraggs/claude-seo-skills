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ltas" sheetId="2" state="visible" r:id="rId2"/>
    <sheet xmlns:r="http://schemas.openxmlformats.org/officeDocument/2006/relationships" name="Prompt Tracking" sheetId="3" state="visible" r:id="rId3"/>
    <sheet xmlns:r="http://schemas.openxmlformats.org/officeDocument/2006/relationships" name="Product Rankings" sheetId="4" state="visible" r:id="rId4"/>
    <sheet xmlns:r="http://schemas.openxmlformats.org/officeDocument/2006/relationships" name="Monthly Pull Checklist" sheetId="5" state="visible" r:id="rId5"/>
    <sheet xmlns:r="http://schemas.openxmlformats.org/officeDocument/2006/relationships" name="Change Log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"/>
    <numFmt numFmtId="166" formatCode="\+0.0%;\-0.0%;0.0%"/>
    <numFmt numFmtId="167" formatCode="\+0.0;\-0.0;0.0"/>
    <numFmt numFmtId="168" formatCode="\+0.00;\-0.00;0.00"/>
    <numFmt numFmtId="169" formatCode="\+0;\-0;0"/>
    <numFmt numFmtId="170" formatCode="0.000"/>
    <numFmt numFmtId="171" formatCode="\+0.000;\-0.000;0.000"/>
    <numFmt numFmtId="172" formatCode="\+#,##0;\-#,##0;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11"/>
    </font>
  </fonts>
  <fills count="10">
    <fill>
      <patternFill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FFE600"/>
        <bgColor rgb="FFFFFF00"/>
      </patternFill>
    </fill>
    <fill>
      <patternFill patternType="solid">
        <fgColor rgb="FFFFF9CC"/>
        <bgColor rgb="FFFFE8CC"/>
      </patternFill>
    </fill>
    <fill>
      <patternFill patternType="solid">
        <fgColor rgb="FFFFD6D6"/>
        <bgColor rgb="FFFFC7CE"/>
      </patternFill>
    </fill>
    <fill>
      <patternFill patternType="solid">
        <fgColor rgb="FFE6F0FF"/>
        <bgColor rgb="FFE8F4EA"/>
      </patternFill>
    </fill>
    <fill>
      <patternFill patternType="solid">
        <fgColor rgb="FFE8F4EA"/>
        <bgColor rgb="FFE6F0FF"/>
      </patternFill>
    </fill>
    <fill>
      <patternFill patternType="solid">
        <fgColor rgb="FF404040"/>
        <bgColor rgb="FF595959"/>
      </patternFill>
    </fill>
    <fill>
      <patternFill patternType="solid">
        <fgColor rgb="FFFFE8CC"/>
        <bgColor rgb="FFFFF9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3" fontId="9" fillId="4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164" fontId="9" fillId="4" borderId="1" applyAlignment="1" pivotButton="0" quotePrefix="0" xfId="0">
      <alignment horizontal="center" vertical="bottom"/>
    </xf>
    <xf numFmtId="164" fontId="9" fillId="0" borderId="1" applyAlignment="1" pivotButton="0" quotePrefix="0" xfId="0">
      <alignment horizontal="center" vertical="bottom"/>
    </xf>
    <xf numFmtId="3" fontId="9" fillId="5" borderId="1" applyAlignment="1" pivotButton="0" quotePrefix="0" xfId="0">
      <alignment horizontal="center" vertical="bottom"/>
    </xf>
    <xf numFmtId="165" fontId="9" fillId="4" borderId="1" applyAlignment="1" pivotButton="0" quotePrefix="0" xfId="0">
      <alignment horizontal="center" vertical="bottom"/>
    </xf>
    <xf numFmtId="165" fontId="9" fillId="0" borderId="1" applyAlignment="1" pivotButton="0" quotePrefix="0" xfId="0">
      <alignment horizontal="center" vertical="bottom"/>
    </xf>
    <xf numFmtId="3" fontId="9" fillId="6" borderId="1" applyAlignment="1" pivotButton="0" quotePrefix="0" xfId="0">
      <alignment horizontal="center" vertical="bottom"/>
    </xf>
    <xf numFmtId="164" fontId="9" fillId="6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center" vertical="bottom"/>
    </xf>
    <xf numFmtId="166" fontId="8" fillId="7" borderId="1" applyAlignment="1" pivotButton="0" quotePrefix="0" xfId="0">
      <alignment horizontal="center" vertical="bottom"/>
    </xf>
    <xf numFmtId="167" fontId="9" fillId="0" borderId="1" applyAlignment="1" pivotButton="0" quotePrefix="0" xfId="0">
      <alignment horizontal="center" vertical="bottom"/>
    </xf>
    <xf numFmtId="167" fontId="8" fillId="7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11" fillId="8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bottom" wrapText="1"/>
    </xf>
    <xf numFmtId="0" fontId="11" fillId="2" borderId="1" applyAlignment="1" pivotButton="0" quotePrefix="0" xfId="0">
      <alignment horizontal="center" vertical="bottom"/>
    </xf>
    <xf numFmtId="2" fontId="9" fillId="0" borderId="1" applyAlignment="1" pivotButton="0" quotePrefix="0" xfId="0">
      <alignment horizontal="center" vertical="bottom"/>
    </xf>
    <xf numFmtId="1" fontId="9" fillId="0" borderId="1" applyAlignment="1" pivotButton="0" quotePrefix="0" xfId="0">
      <alignment horizontal="center" vertical="bottom"/>
    </xf>
    <xf numFmtId="2" fontId="9" fillId="4" borderId="1" applyAlignment="1" pivotButton="0" quotePrefix="0" xfId="0">
      <alignment horizontal="center" vertical="bottom"/>
    </xf>
    <xf numFmtId="1" fontId="9" fillId="4" borderId="1" applyAlignment="1" pivotButton="0" quotePrefix="0" xfId="0">
      <alignment horizontal="center" vertical="bottom"/>
    </xf>
    <xf numFmtId="168" fontId="8" fillId="0" borderId="1" applyAlignment="1" pivotButton="0" quotePrefix="0" xfId="0">
      <alignment horizontal="center" vertical="bottom"/>
    </xf>
    <xf numFmtId="169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170" fontId="9" fillId="0" borderId="1" applyAlignment="1" pivotButton="0" quotePrefix="0" xfId="0">
      <alignment horizontal="center" vertical="bottom"/>
    </xf>
    <xf numFmtId="171" fontId="9" fillId="0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center" vertical="bottom"/>
    </xf>
    <xf numFmtId="3" fontId="8" fillId="3" borderId="1" applyAlignment="1" pivotButton="0" quotePrefix="0" xfId="0">
      <alignment horizontal="center" vertical="bottom"/>
    </xf>
    <xf numFmtId="166" fontId="8" fillId="3" borderId="1" applyAlignment="1" pivotButton="0" quotePrefix="0" xfId="0">
      <alignment horizontal="center" vertical="bottom"/>
    </xf>
    <xf numFmtId="170" fontId="8" fillId="3" borderId="1" applyAlignment="1" pivotButton="0" quotePrefix="0" xfId="0">
      <alignment horizontal="center" vertical="bottom"/>
    </xf>
    <xf numFmtId="171" fontId="8" fillId="3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general" vertical="top" wrapText="1"/>
    </xf>
    <xf numFmtId="172" fontId="9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166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3" fontId="9" fillId="4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164" fontId="9" fillId="4" borderId="1" applyAlignment="1" pivotButton="0" quotePrefix="0" xfId="0">
      <alignment horizontal="center" vertical="bottom"/>
    </xf>
    <xf numFmtId="164" fontId="9" fillId="0" borderId="1" applyAlignment="1" pivotButton="0" quotePrefix="0" xfId="0">
      <alignment horizontal="center" vertical="bottom"/>
    </xf>
    <xf numFmtId="3" fontId="9" fillId="5" borderId="1" applyAlignment="1" pivotButton="0" quotePrefix="0" xfId="0">
      <alignment horizontal="center" vertical="bottom"/>
    </xf>
    <xf numFmtId="165" fontId="9" fillId="4" borderId="1" applyAlignment="1" pivotButton="0" quotePrefix="0" xfId="0">
      <alignment horizontal="center" vertical="bottom"/>
    </xf>
    <xf numFmtId="165" fontId="9" fillId="0" borderId="1" applyAlignment="1" pivotButton="0" quotePrefix="0" xfId="0">
      <alignment horizontal="center" vertical="bottom"/>
    </xf>
    <xf numFmtId="3" fontId="9" fillId="6" borderId="1" applyAlignment="1" pivotButton="0" quotePrefix="0" xfId="0">
      <alignment horizontal="center" vertical="bottom"/>
    </xf>
    <xf numFmtId="164" fontId="9" fillId="6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center" vertical="bottom"/>
    </xf>
    <xf numFmtId="166" fontId="8" fillId="7" borderId="1" applyAlignment="1" pivotButton="0" quotePrefix="0" xfId="0">
      <alignment horizontal="center" vertical="bottom"/>
    </xf>
    <xf numFmtId="167" fontId="9" fillId="0" borderId="1" applyAlignment="1" pivotButton="0" quotePrefix="0" xfId="0">
      <alignment horizontal="center" vertical="bottom"/>
    </xf>
    <xf numFmtId="167" fontId="8" fillId="7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11" fillId="8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bottom" wrapText="1"/>
    </xf>
    <xf numFmtId="0" fontId="11" fillId="2" borderId="1" applyAlignment="1" pivotButton="0" quotePrefix="0" xfId="0">
      <alignment horizontal="center" vertical="bottom"/>
    </xf>
    <xf numFmtId="2" fontId="9" fillId="0" borderId="1" applyAlignment="1" pivotButton="0" quotePrefix="0" xfId="0">
      <alignment horizontal="center" vertical="bottom"/>
    </xf>
    <xf numFmtId="1" fontId="9" fillId="0" borderId="1" applyAlignment="1" pivotButton="0" quotePrefix="0" xfId="0">
      <alignment horizontal="center" vertical="bottom"/>
    </xf>
    <xf numFmtId="2" fontId="9" fillId="4" borderId="1" applyAlignment="1" pivotButton="0" quotePrefix="0" xfId="0">
      <alignment horizontal="center" vertical="bottom"/>
    </xf>
    <xf numFmtId="1" fontId="9" fillId="4" borderId="1" applyAlignment="1" pivotButton="0" quotePrefix="0" xfId="0">
      <alignment horizontal="center" vertical="bottom"/>
    </xf>
    <xf numFmtId="168" fontId="8" fillId="0" borderId="1" applyAlignment="1" pivotButton="0" quotePrefix="0" xfId="0">
      <alignment horizontal="center" vertical="bottom"/>
    </xf>
    <xf numFmtId="169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170" fontId="9" fillId="0" borderId="1" applyAlignment="1" pivotButton="0" quotePrefix="0" xfId="0">
      <alignment horizontal="center" vertical="bottom"/>
    </xf>
    <xf numFmtId="171" fontId="9" fillId="0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center" vertical="bottom"/>
    </xf>
    <xf numFmtId="3" fontId="8" fillId="3" borderId="1" applyAlignment="1" pivotButton="0" quotePrefix="0" xfId="0">
      <alignment horizontal="center" vertical="bottom"/>
    </xf>
    <xf numFmtId="166" fontId="8" fillId="3" borderId="1" applyAlignment="1" pivotButton="0" quotePrefix="0" xfId="0">
      <alignment horizontal="center" vertical="bottom"/>
    </xf>
    <xf numFmtId="170" fontId="8" fillId="3" borderId="1" applyAlignment="1" pivotButton="0" quotePrefix="0" xfId="0">
      <alignment horizontal="center" vertical="bottom"/>
    </xf>
    <xf numFmtId="171" fontId="8" fillId="3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general" vertical="top" wrapText="1"/>
    </xf>
    <xf numFmtId="172" fontId="9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166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general" vertical="top" wrapText="1"/>
    </xf>
    <xf numFmtId="2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6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D6D6"/>
      <rgbColor rgb="FF808080"/>
      <rgbColor rgb="FF9999FF"/>
      <rgbColor rgb="FF993366"/>
      <rgbColor rgb="FFFFF9CC"/>
      <rgbColor rgb="FFE6F0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EA"/>
      <rgbColor rgb="FFC6EFCE"/>
      <rgbColor rgb="FFFFE8CC"/>
      <rgbColor rgb="FF99CCFF"/>
      <rgbColor rgb="FFFF9999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E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64" min="1" max="1"/>
    <col width="9" customWidth="1" style="64" min="2" max="2"/>
    <col width="30" customWidth="1" style="64" min="3" max="3"/>
    <col width="52" customWidth="1" style="64" min="4" max="4"/>
    <col width="11" customWidth="1" style="64" min="5" max="16"/>
  </cols>
  <sheetData>
    <row r="1" ht="17.25" customHeight="1" s="65">
      <c r="A1" s="66" t="inlineStr">
        <is>
          <t>Cedar Valley Tech — AEO Reporting Data Layer (SYNTHETIC SAMPLE DATA)</t>
        </is>
      </c>
    </row>
    <row r="2" ht="15" customHeight="1" s="65">
      <c r="A2" s="67" t="inlineStr">
        <is>
          <t>One row per metric, one column per month. Enter values in the month columns only — the Deltas tab calculates every MoM and YTD change automatically.</t>
        </is>
      </c>
    </row>
    <row r="3" ht="15" customHeight="1" s="65">
      <c r="A3" s="67" t="inlineStr">
        <is>
          <t>LEGEND:   yellow = you fill this each month   ·   red = backfilled from a prior deck but internally contradictory, verify in Semrush before citing   ·   white = already verified</t>
        </is>
      </c>
    </row>
    <row r="4"/>
    <row r="5" ht="15" customHeight="1" s="65">
      <c r="A5" s="68" t="inlineStr">
        <is>
          <t>Metric</t>
        </is>
      </c>
      <c r="B5" s="68" t="inlineStr">
        <is>
          <t>Δ Type</t>
        </is>
      </c>
      <c r="C5" s="68" t="inlineStr">
        <is>
          <t>Semrush AIO source</t>
        </is>
      </c>
      <c r="D5" s="68" t="inlineStr">
        <is>
          <t>Notes / definition</t>
        </is>
      </c>
      <c r="E5" s="68" t="inlineStr">
        <is>
          <t>Jan-26</t>
        </is>
      </c>
      <c r="F5" s="68" t="inlineStr">
        <is>
          <t>Feb-26</t>
        </is>
      </c>
      <c r="G5" s="68" t="inlineStr">
        <is>
          <t>Mar-26</t>
        </is>
      </c>
      <c r="H5" s="68" t="inlineStr">
        <is>
          <t>Apr-26</t>
        </is>
      </c>
      <c r="I5" s="68" t="inlineStr">
        <is>
          <t>May-26</t>
        </is>
      </c>
      <c r="J5" s="68" t="inlineStr">
        <is>
          <t>Jun-26</t>
        </is>
      </c>
      <c r="K5" s="68" t="inlineStr">
        <is>
          <t>Jul-26</t>
        </is>
      </c>
      <c r="L5" s="68" t="inlineStr">
        <is>
          <t>Aug-26</t>
        </is>
      </c>
      <c r="M5" s="68" t="inlineStr">
        <is>
          <t>Sep-26</t>
        </is>
      </c>
      <c r="N5" s="68" t="inlineStr">
        <is>
          <t>Oct-26</t>
        </is>
      </c>
      <c r="O5" s="68" t="inlineStr">
        <is>
          <t>Nov-26</t>
        </is>
      </c>
      <c r="P5" s="68" t="inlineStr">
        <is>
          <t>Dec-26</t>
        </is>
      </c>
    </row>
    <row r="6" ht="15" customHeight="1" s="65">
      <c r="A6" s="69" t="inlineStr">
        <is>
          <t>VISIBILITY OVERVIEW (all topics — not tracked prompts)</t>
        </is>
      </c>
      <c r="B6" s="70" t="n"/>
      <c r="C6" s="70" t="n"/>
      <c r="D6" s="70" t="n"/>
      <c r="E6" s="70" t="n"/>
      <c r="F6" s="70" t="n"/>
      <c r="G6" s="70" t="n"/>
      <c r="H6" s="70" t="n"/>
      <c r="I6" s="70" t="n"/>
      <c r="J6" s="70" t="n"/>
      <c r="K6" s="70" t="n"/>
      <c r="L6" s="70" t="n"/>
      <c r="M6" s="70" t="n"/>
      <c r="N6" s="70" t="n"/>
      <c r="O6" s="70" t="n"/>
      <c r="P6" s="70" t="n"/>
    </row>
    <row r="7" ht="21.75" customHeight="1" s="65">
      <c r="A7" s="71" t="inlineStr">
        <is>
          <t>AI Visibility score</t>
        </is>
      </c>
      <c r="B7" s="72" t="inlineStr">
        <is>
          <t>pp</t>
        </is>
      </c>
      <c r="C7" s="72" t="inlineStr">
        <is>
          <t>AI Visibility &gt; Visibility Overview</t>
        </is>
      </c>
      <c r="D7" s="73" t="inlineStr">
        <is>
          <t>Semrush proprietary 0-100 composite. NOT a percentage. July = 34 on Country=US (the Worldwide pull returned 22 and admitted non-US markets). Mar and May both reported 39.</t>
        </is>
      </c>
      <c r="E7" s="74" t="n"/>
      <c r="F7" s="74" t="n"/>
      <c r="G7" s="75" t="n">
        <v>39</v>
      </c>
      <c r="H7" s="74" t="n"/>
      <c r="I7" s="75" t="n">
        <v>39</v>
      </c>
      <c r="J7" s="74" t="n"/>
      <c r="K7" s="75" t="n">
        <v>34</v>
      </c>
      <c r="L7" s="74" t="n"/>
      <c r="M7" s="74" t="n"/>
      <c r="N7" s="74" t="n"/>
      <c r="O7" s="74" t="n"/>
      <c r="P7" s="74" t="n"/>
    </row>
    <row r="8" ht="15" customHeight="1" s="65">
      <c r="A8" s="71" t="inlineStr">
        <is>
          <t>Share of Voice — overall</t>
        </is>
      </c>
      <c r="B8" s="72" t="inlineStr">
        <is>
          <t>pp</t>
        </is>
      </c>
      <c r="C8" s="72" t="inlineStr">
        <is>
          <t>Prompt Tracking &gt; Overview</t>
        </is>
      </c>
      <c r="D8" s="73" t="inlineStr">
        <is>
          <t>Brand's share of all brand mentions in the topic set.</t>
        </is>
      </c>
      <c r="E8" s="76" t="n"/>
      <c r="F8" s="76" t="n"/>
      <c r="G8" s="77" t="n">
        <v>0.58</v>
      </c>
      <c r="H8" s="76" t="n"/>
      <c r="I8" s="76" t="n"/>
      <c r="J8" s="76" t="n"/>
      <c r="K8" s="76" t="n"/>
      <c r="L8" s="76" t="n"/>
      <c r="M8" s="76" t="n"/>
      <c r="N8" s="76" t="n"/>
      <c r="O8" s="76" t="n"/>
      <c r="P8" s="76" t="n"/>
    </row>
    <row r="9" ht="15" customHeight="1" s="65">
      <c r="A9" s="71" t="inlineStr">
        <is>
          <t>Source Visibility — overall</t>
        </is>
      </c>
      <c r="B9" s="72" t="inlineStr">
        <is>
          <t>pp</t>
        </is>
      </c>
      <c r="C9" s="72" t="inlineStr">
        <is>
          <t>Prompt Tracking &gt; Overview</t>
        </is>
      </c>
      <c r="D9" s="73" t="inlineStr">
        <is>
          <t>Share of responses citing a brand URL as a source.</t>
        </is>
      </c>
      <c r="E9" s="76" t="n"/>
      <c r="F9" s="76" t="n"/>
      <c r="G9" s="77" t="n">
        <v>0.51</v>
      </c>
      <c r="H9" s="76" t="n"/>
      <c r="I9" s="76" t="n"/>
      <c r="J9" s="76" t="n"/>
      <c r="K9" s="76" t="n"/>
      <c r="L9" s="76" t="n"/>
      <c r="M9" s="76" t="n"/>
      <c r="N9" s="76" t="n"/>
      <c r="O9" s="76" t="n"/>
      <c r="P9" s="76" t="n"/>
    </row>
    <row r="10" ht="21.75" customHeight="1" s="65">
      <c r="A10" s="71" t="inlineStr">
        <is>
          <t>Mentions — total (all topics)</t>
        </is>
      </c>
      <c r="B10" s="72" t="inlineStr">
        <is>
          <t>pct</t>
        </is>
      </c>
      <c r="C10" s="72" t="inlineStr">
        <is>
          <t>AI Visibility &gt; Visibility Overview</t>
        </is>
      </c>
      <c r="D10" s="73" t="inlineStr">
        <is>
          <t>Trend on Visibility Overview: ~920 Mar, peak ~980 Apr, ~550 by Jul, flat since. Absolute mentions are down ~40% from the April peak while the composite score fell only 5 points — competitors are falling too.</t>
        </is>
      </c>
      <c r="E10" s="74" t="n"/>
      <c r="F10" s="74" t="n"/>
      <c r="G10" s="74" t="n"/>
      <c r="H10" s="74" t="n"/>
      <c r="I10" s="74" t="n"/>
      <c r="J10" s="74" t="n"/>
      <c r="K10" s="75" t="n">
        <v>612</v>
      </c>
      <c r="L10" s="74" t="n"/>
      <c r="M10" s="74" t="n"/>
      <c r="N10" s="74" t="n"/>
      <c r="O10" s="74" t="n"/>
      <c r="P10" s="74" t="n"/>
    </row>
    <row r="11" ht="15" customHeight="1" s="65">
      <c r="A11" s="71" t="inlineStr">
        <is>
          <t>Monthly Audience</t>
        </is>
      </c>
      <c r="B11" s="72" t="inlineStr">
        <is>
          <t>pct</t>
        </is>
      </c>
      <c r="C11" s="72" t="inlineStr">
        <is>
          <t>AI Visibility &gt; Visibility Overview</t>
        </is>
      </c>
      <c r="D11" s="73" t="inlineStr">
        <is>
          <t>Total search volume of topics where brand is mentioned.</t>
        </is>
      </c>
      <c r="E11" s="74" t="n"/>
      <c r="F11" s="74" t="n"/>
      <c r="G11" s="74" t="n"/>
      <c r="H11" s="74" t="n"/>
      <c r="I11" s="74" t="n"/>
      <c r="J11" s="74" t="n"/>
      <c r="K11" s="75" t="n">
        <v>14200000</v>
      </c>
      <c r="L11" s="74" t="n"/>
      <c r="M11" s="74" t="n"/>
      <c r="N11" s="74" t="n"/>
      <c r="O11" s="74" t="n"/>
      <c r="P11" s="74" t="n"/>
    </row>
    <row r="12" ht="15" customHeight="1" s="65">
      <c r="A12" s="71" t="inlineStr">
        <is>
          <t>Cited Pages</t>
        </is>
      </c>
      <c r="B12" s="72" t="inlineStr">
        <is>
          <t>pct</t>
        </is>
      </c>
      <c r="C12" s="72" t="inlineStr">
        <is>
          <t>AI Visibility &gt; Visibility Overview</t>
        </is>
      </c>
      <c r="D12" s="73" t="inlineStr">
        <is>
          <t>Count of distinct brand URLs referenced in LLM answers.</t>
        </is>
      </c>
      <c r="E12" s="74" t="n"/>
      <c r="F12" s="74" t="n"/>
      <c r="G12" s="74" t="n"/>
      <c r="H12" s="74" t="n"/>
      <c r="I12" s="74" t="n"/>
      <c r="J12" s="74" t="n"/>
      <c r="K12" s="75" t="n">
        <v>388</v>
      </c>
      <c r="L12" s="74" t="n"/>
      <c r="M12" s="74" t="n"/>
      <c r="N12" s="74" t="n"/>
      <c r="O12" s="74" t="n"/>
      <c r="P12" s="74" t="n"/>
    </row>
    <row r="13" ht="23.25" customHeight="1" s="65">
      <c r="A13" s="71" t="inlineStr">
        <is>
          <t>Negative sentiment (mentions)</t>
        </is>
      </c>
      <c r="B13" s="72" t="inlineStr">
        <is>
          <t>pp</t>
        </is>
      </c>
      <c r="C13" s="72" t="inlineStr">
        <is>
          <t>Prompt Tracking &gt; Concepts and Sentiment</t>
        </is>
      </c>
      <c r="D13" s="73" t="inlineStr">
        <is>
          <t>NEW — shipped in Enterprise AIO 5/7/26. Not in any prior report. Add this month.</t>
        </is>
      </c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6" t="n"/>
    </row>
    <row r="14" ht="21.75" customHeight="1" s="65">
      <c r="A14" s="71" t="inlineStr">
        <is>
          <t>reddit.com source visibility</t>
        </is>
      </c>
      <c r="B14" s="72" t="inlineStr">
        <is>
          <t>pct</t>
        </is>
      </c>
      <c r="C14" s="72" t="inlineStr">
        <is>
          <t>Prompt Tracking &gt; Sources</t>
        </is>
      </c>
      <c r="D14" s="73" t="inlineStr">
        <is>
          <t>NEW — shipped in Enterprise AIO 5/7/26. High signal for college-choice queries.</t>
        </is>
      </c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  <c r="P14" s="74" t="n"/>
    </row>
    <row r="15" ht="15" customHeight="1" s="65">
      <c r="A15" s="69" t="inlineStr">
        <is>
          <t>TRACKED PROMPTS (the managed prompt set)</t>
        </is>
      </c>
      <c r="B15" s="70" t="n"/>
      <c r="C15" s="70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  <c r="M15" s="70" t="n"/>
      <c r="N15" s="70" t="n"/>
      <c r="O15" s="70" t="n"/>
      <c r="P15" s="70" t="n"/>
    </row>
    <row r="16" ht="21.75" customHeight="1" s="65">
      <c r="A16" s="71" t="inlineStr">
        <is>
          <t>Prompts tracked (count)</t>
        </is>
      </c>
      <c r="B16" s="72" t="inlineStr">
        <is>
          <t>abs</t>
        </is>
      </c>
      <c r="C16" s="72" t="inlineStr">
        <is>
          <t>Prompt Tracking &gt; Rankings</t>
        </is>
      </c>
      <c r="D16" s="73" t="inlineStr">
        <is>
          <t>CONTRADICTION: June+May headline slides say 25; May appendix tables list 68; March says 34. Resolve.</t>
        </is>
      </c>
      <c r="E16" s="74" t="n"/>
      <c r="F16" s="74" t="n"/>
      <c r="G16" s="75" t="n">
        <v>34</v>
      </c>
      <c r="H16" s="74" t="n"/>
      <c r="I16" s="78" t="n">
        <v>25</v>
      </c>
      <c r="J16" s="78" t="n">
        <v>25</v>
      </c>
      <c r="K16" s="74" t="n"/>
      <c r="L16" s="74" t="n"/>
      <c r="M16" s="74" t="n"/>
      <c r="N16" s="74" t="n"/>
      <c r="O16" s="74" t="n"/>
      <c r="P16" s="74" t="n"/>
    </row>
    <row r="17" ht="21.75" customHeight="1" s="65">
      <c r="A17" s="71" t="inlineStr">
        <is>
          <t>Models tracked (count)</t>
        </is>
      </c>
      <c r="B17" s="72" t="inlineStr">
        <is>
          <t>abs</t>
        </is>
      </c>
      <c r="C17" s="72" t="inlineStr">
        <is>
          <t>Prompt Tracking &gt; Overview &gt; Performance by Model</t>
        </is>
      </c>
      <c r="D17" s="73" t="inlineStr">
        <is>
          <t>March: ChatGPT / Google AIO / Perplexity. June: 3 models, composition unconfirmed.</t>
        </is>
      </c>
      <c r="E17" s="74" t="n"/>
      <c r="F17" s="74" t="n"/>
      <c r="G17" s="75" t="n">
        <v>3</v>
      </c>
      <c r="H17" s="74" t="n"/>
      <c r="I17" s="74" t="n"/>
      <c r="J17" s="75" t="n">
        <v>3</v>
      </c>
      <c r="K17" s="74" t="n"/>
      <c r="L17" s="74" t="n"/>
      <c r="M17" s="74" t="n"/>
      <c r="N17" s="74" t="n"/>
      <c r="O17" s="74" t="n"/>
      <c r="P17" s="74" t="n"/>
    </row>
    <row r="18" ht="15" customHeight="1" s="65">
      <c r="A18" s="71" t="inlineStr">
        <is>
          <t>Share of Voice — tracked</t>
        </is>
      </c>
      <c r="B18" s="72" t="inlineStr">
        <is>
          <t>pp</t>
        </is>
      </c>
      <c r="C18" s="72" t="inlineStr">
        <is>
          <t>Prompt Tracking &gt; Overview</t>
        </is>
      </c>
      <c r="D18" s="73" t="inlineStr">
        <is>
          <t>June deck states +4pp vs May but gives no absolute value. Pull both.</t>
        </is>
      </c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</row>
    <row r="19" ht="15" customHeight="1" s="65">
      <c r="A19" s="71" t="inlineStr">
        <is>
          <t>Brand Visibility — tracked</t>
        </is>
      </c>
      <c r="B19" s="72" t="inlineStr">
        <is>
          <t>pp</t>
        </is>
      </c>
      <c r="C19" s="72" t="inlineStr">
        <is>
          <t>Prompt Tracking &gt; Overview</t>
        </is>
      </c>
      <c r="D19" s="73" t="inlineStr">
        <is>
          <t>June deck states +3pp vs May but gives no absolute value. Pull both.</t>
        </is>
      </c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</row>
    <row r="20" ht="21.75" customHeight="1" s="65">
      <c r="A20" s="71" t="inlineStr">
        <is>
          <t>Avg. position — tracked</t>
        </is>
      </c>
      <c r="B20" s="72" t="inlineStr">
        <is>
          <t>abs</t>
        </is>
      </c>
      <c r="C20" s="72" t="inlineStr">
        <is>
          <t>Prompt Tracking &gt; Rankings</t>
        </is>
      </c>
      <c r="D20" s="73" t="inlineStr">
        <is>
          <t>LOWER IS BETTER. Never write 'up' for an improvement here — June deck did.</t>
        </is>
      </c>
      <c r="E20" s="79" t="n"/>
      <c r="F20" s="79" t="n"/>
      <c r="G20" s="79" t="n"/>
      <c r="H20" s="79" t="n"/>
      <c r="I20" s="80" t="n">
        <v>1.6</v>
      </c>
      <c r="J20" s="80" t="n">
        <v>1.4</v>
      </c>
      <c r="K20" s="79" t="n"/>
      <c r="L20" s="79" t="n"/>
      <c r="M20" s="79" t="n"/>
      <c r="N20" s="79" t="n"/>
      <c r="O20" s="79" t="n"/>
      <c r="P20" s="79" t="n"/>
    </row>
    <row r="21" ht="15" customHeight="1" s="65">
      <c r="A21" s="71" t="inlineStr">
        <is>
          <t>Responses w/ brand mention</t>
        </is>
      </c>
      <c r="B21" s="72" t="inlineStr">
        <is>
          <t>pct</t>
        </is>
      </c>
      <c r="C21" s="72" t="inlineStr">
        <is>
          <t>Prompt Tracking &gt; Overview &gt; Mentions</t>
        </is>
      </c>
      <c r="D21" s="73" t="inlineStr">
        <is>
          <t>June deck states +22% vs May, no absolute. Pull both.</t>
        </is>
      </c>
      <c r="E21" s="74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</row>
    <row r="22" ht="15" customHeight="1" s="65">
      <c r="A22" s="71" t="inlineStr">
        <is>
          <t>Total mentions</t>
        </is>
      </c>
      <c r="B22" s="72" t="inlineStr">
        <is>
          <t>pct</t>
        </is>
      </c>
      <c r="C22" s="72" t="inlineStr">
        <is>
          <t>Prompt Tracking &gt; Overview</t>
        </is>
      </c>
      <c r="D22" s="73" t="inlineStr">
        <is>
          <t>Flagged in June deck as a new metric to start tracking.</t>
        </is>
      </c>
      <c r="E22" s="74" t="n"/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</row>
    <row r="23" ht="15" customHeight="1" s="65">
      <c r="A23" s="71" t="inlineStr">
        <is>
          <t>Total responses</t>
        </is>
      </c>
      <c r="B23" s="72" t="inlineStr">
        <is>
          <t>pct</t>
        </is>
      </c>
      <c r="C23" s="72" t="inlineStr">
        <is>
          <t>Prompt Tracking &gt; Overview</t>
        </is>
      </c>
      <c r="D23" s="73" t="inlineStr">
        <is>
          <t>Flagged in June deck as a new metric to start tracking.</t>
        </is>
      </c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</row>
    <row r="24" ht="15" customHeight="1" s="65">
      <c r="A24" s="69" t="inlineStr">
        <is>
          <t>TRAFFIC (GA4 / AI Traffic dashboard)</t>
        </is>
      </c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0" t="n"/>
    </row>
    <row r="25" ht="21.75" customHeight="1" s="65">
      <c r="A25" s="71" t="inlineStr">
        <is>
          <t>LLM traffic — total visits</t>
        </is>
      </c>
      <c r="B25" s="72" t="inlineStr">
        <is>
          <t>pct</t>
        </is>
      </c>
      <c r="C25" s="72" t="inlineStr">
        <is>
          <t>GA4 (LLM source segment)</t>
        </is>
      </c>
      <c r="D25" s="73" t="inlineStr">
        <is>
          <t>Traffic Analysis &gt; AI Referral Traffic (GA). Semrush has the GA connection built in — no manual GA4 segment needed. July 1,046, +17% vs June.</t>
        </is>
      </c>
      <c r="E25" s="74" t="n"/>
      <c r="F25" s="74" t="n"/>
      <c r="G25" s="74" t="n"/>
      <c r="H25" s="74" t="n"/>
      <c r="I25" s="75" t="n">
        <v>701</v>
      </c>
      <c r="J25" s="81" t="n">
        <v>894</v>
      </c>
      <c r="K25" s="75" t="n">
        <v>1046</v>
      </c>
      <c r="L25" s="74" t="n"/>
      <c r="M25" s="74" t="n"/>
      <c r="N25" s="74" t="n"/>
      <c r="O25" s="74" t="n"/>
      <c r="P25" s="74" t="n"/>
    </row>
    <row r="26" ht="15" customHeight="1" s="65">
      <c r="A26" s="71" t="inlineStr">
        <is>
          <t>ChatGPT visits</t>
        </is>
      </c>
      <c r="B26" s="72" t="inlineStr">
        <is>
          <t>pct</t>
        </is>
      </c>
      <c r="C26" s="72" t="inlineStr">
        <is>
          <t>GA4 (LLM source segment)</t>
        </is>
      </c>
      <c r="D26" s="73" t="inlineStr">
        <is>
          <t>Traffic by Model. ChatGPT is 94% of all AI referral traffic; Gemini, Perplexity, Copilot and Claude are rounding errors.</t>
        </is>
      </c>
      <c r="E26" s="74" t="n"/>
      <c r="F26" s="74" t="n"/>
      <c r="G26" s="74" t="n"/>
      <c r="H26" s="74" t="n"/>
      <c r="I26" s="75" t="n">
        <v>655</v>
      </c>
      <c r="J26" s="75" t="n">
        <v>842</v>
      </c>
      <c r="K26" s="75" t="n">
        <v>983</v>
      </c>
      <c r="L26" s="74" t="n"/>
      <c r="M26" s="74" t="n"/>
      <c r="N26" s="74" t="n"/>
      <c r="O26" s="74" t="n"/>
      <c r="P26" s="74" t="n"/>
    </row>
    <row r="27" ht="21.75" customHeight="1" s="65">
      <c r="A27" s="71" t="inlineStr">
        <is>
          <t>All other LLM visits</t>
        </is>
      </c>
      <c r="B27" s="72" t="inlineStr">
        <is>
          <t>pct</t>
        </is>
      </c>
      <c r="C27" s="72" t="inlineStr">
        <is>
          <t>Calculated</t>
        </is>
      </c>
      <c r="D27" s="73" t="inlineStr">
        <is>
          <t>Total minus ChatGPT. Perplexity/Copilot/Claude dropped from traffic tracking as of May.</t>
        </is>
      </c>
      <c r="E27" s="75">
        <f>IFERROR(IF(OR(E25="",E26=""),"",E25-E26),"")</f>
        <v/>
      </c>
      <c r="F27" s="75">
        <f>IFERROR(IF(OR(F25="",F26=""),"",F25-F26),"")</f>
        <v/>
      </c>
      <c r="G27" s="75">
        <f>IFERROR(IF(OR(G25="",G26=""),"",G25-G26),"")</f>
        <v/>
      </c>
      <c r="H27" s="75">
        <f>IFERROR(IF(OR(H25="",H26=""),"",H25-H26),"")</f>
        <v/>
      </c>
      <c r="I27" s="75">
        <f>IFERROR(IF(OR(I25="",I26=""),"",I25-I26),"")</f>
        <v/>
      </c>
      <c r="J27" s="75">
        <f>IFERROR(IF(OR(J25="",J26=""),"",J25-J26),"")</f>
        <v/>
      </c>
      <c r="K27" s="75">
        <f>IFERROR(IF(OR(K25="",K26=""),"",K25-K26),"")</f>
        <v/>
      </c>
      <c r="L27" s="75">
        <f>IFERROR(IF(OR(L25="",L26=""),"",L25-L26),"")</f>
        <v/>
      </c>
      <c r="M27" s="75">
        <f>IFERROR(IF(OR(M25="",M26=""),"",M25-M26),"")</f>
        <v/>
      </c>
      <c r="N27" s="75">
        <f>IFERROR(IF(OR(N25="",N26=""),"",N25-N26),"")</f>
        <v/>
      </c>
      <c r="O27" s="75">
        <f>IFERROR(IF(OR(O25="",O26=""),"",O25-O26),"")</f>
        <v/>
      </c>
      <c r="P27" s="75">
        <f>IFERROR(IF(OR(P25="",P26=""),"",P25-P26),"")</f>
        <v/>
      </c>
    </row>
    <row r="28" ht="32.25" customHeight="1" s="65">
      <c r="A28" s="71" t="inlineStr">
        <is>
          <t>Conversions</t>
        </is>
      </c>
      <c r="B28" s="72" t="inlineStr">
        <is>
          <t>pct</t>
        </is>
      </c>
      <c r="C28" s="72" t="inlineStr">
        <is>
          <t>GA4 key events — see note</t>
        </is>
      </c>
      <c r="D28" s="73" t="inlineStr">
        <is>
          <t>BROKEN METRIC — do not present as applications. On the Landing Page Performance table, /apply/apply-now/ shows 26 AI sessions and 47 AI conversions. More conversions than sessions means the event fires repeatedly per session. Answers the agency contact's 7/22 question.</t>
        </is>
      </c>
      <c r="E28" s="74" t="n"/>
      <c r="F28" s="74" t="n"/>
      <c r="G28" s="74" t="n"/>
      <c r="H28" s="74" t="n"/>
      <c r="I28" s="75" t="n">
        <v>31</v>
      </c>
      <c r="J28" s="81" t="n">
        <v>84</v>
      </c>
      <c r="K28" s="75" t="n">
        <v>158</v>
      </c>
      <c r="L28" s="74" t="n"/>
      <c r="M28" s="74" t="n"/>
      <c r="N28" s="74" t="n"/>
      <c r="O28" s="74" t="n"/>
      <c r="P28" s="74" t="n"/>
    </row>
    <row r="29" ht="15" customHeight="1" s="65">
      <c r="A29" s="71" t="inlineStr">
        <is>
          <t>Conversion rate</t>
        </is>
      </c>
      <c r="B29" s="72" t="inlineStr">
        <is>
          <t>pp</t>
        </is>
      </c>
      <c r="C29" s="72" t="inlineStr">
        <is>
          <t>Calculated</t>
        </is>
      </c>
      <c r="D29" s="73" t="inlineStr">
        <is>
          <t>Conversions ÷ total LLM visits.</t>
        </is>
      </c>
      <c r="E29" s="77">
        <f>IFERROR(E28/E25,"")</f>
        <v/>
      </c>
      <c r="F29" s="77">
        <f>IFERROR(F28/F25,"")</f>
        <v/>
      </c>
      <c r="G29" s="77">
        <f>IFERROR(G28/G25,"")</f>
        <v/>
      </c>
      <c r="H29" s="77">
        <f>IFERROR(H28/H25,"")</f>
        <v/>
      </c>
      <c r="I29" s="77">
        <f>IFERROR(I28/I25,"")</f>
        <v/>
      </c>
      <c r="J29" s="77">
        <f>IFERROR(J28/J25,"")</f>
        <v/>
      </c>
      <c r="K29" s="77">
        <f>IFERROR(K28/K25,"")</f>
        <v/>
      </c>
      <c r="L29" s="77">
        <f>IFERROR(L28/L25,"")</f>
        <v/>
      </c>
      <c r="M29" s="77">
        <f>IFERROR(M28/M25,"")</f>
        <v/>
      </c>
      <c r="N29" s="77">
        <f>IFERROR(N28/N25,"")</f>
        <v/>
      </c>
      <c r="O29" s="77">
        <f>IFERROR(O28/O25,"")</f>
        <v/>
      </c>
      <c r="P29" s="77">
        <f>IFERROR(P28/P25,"")</f>
        <v/>
      </c>
    </row>
    <row r="30" ht="21.75" customHeight="1" s="65">
      <c r="A30" s="71" t="inlineStr">
        <is>
          <t>Bounce rate</t>
        </is>
      </c>
      <c r="B30" s="72" t="inlineStr">
        <is>
          <t>pp</t>
        </is>
      </c>
      <c r="C30" s="72" t="inlineStr">
        <is>
          <t>GA4 (LLM source segment)</t>
        </is>
      </c>
      <c r="D30" s="73" t="inlineStr">
        <is>
          <t>July 28%, down 12% vs June. DOWN is good — the June deck grouped a rising bounce rate under 'all metrics pointing up'.</t>
        </is>
      </c>
      <c r="E30" s="76" t="n"/>
      <c r="F30" s="76" t="n"/>
      <c r="G30" s="76" t="n"/>
      <c r="H30" s="76" t="n"/>
      <c r="I30" s="77" t="n">
        <v>0.32</v>
      </c>
      <c r="J30" s="82" t="n">
        <v>0.318</v>
      </c>
      <c r="K30" s="77" t="n">
        <v>0.28</v>
      </c>
      <c r="L30" s="76" t="n"/>
      <c r="M30" s="76" t="n"/>
      <c r="N30" s="76" t="n"/>
      <c r="O30" s="76" t="n"/>
      <c r="P30" s="76" t="n"/>
    </row>
    <row r="31"/>
    <row r="32" ht="15" customHeight="1" s="65">
      <c r="A32" s="67" t="inlineStr">
        <is>
          <t>Sources: prior Cedar Valley Tech AEO decks Mar/May/Jun '26; Semrush KB 'AI Visibility Features'; Semrush product releases 5/7/26 and 5/14/26.</t>
        </is>
      </c>
    </row>
    <row r="33"/>
    <row r="34" ht="15" customHeight="1" s="65">
      <c r="A34" s="83" t="inlineStr">
        <is>
          <t>BY MODEL — Prompt Tracking &gt; Overview &gt; Performance by Model</t>
        </is>
      </c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/>
    </row>
    <row r="35" ht="15" customHeight="1" s="65">
      <c r="A35" s="71" t="inlineStr">
        <is>
          <t>Gemini — Share of Voice</t>
        </is>
      </c>
      <c r="B35" s="72" t="inlineStr">
        <is>
          <t>pp</t>
        </is>
      </c>
      <c r="C35" s="72" t="inlineStr">
        <is>
          <t>Prompt Tracking &gt; Overview</t>
        </is>
      </c>
      <c r="D35" s="73" t="inlineStr">
        <is>
          <t>July = first month captured at model level.</t>
        </is>
      </c>
      <c r="E35" s="76" t="n"/>
      <c r="F35" s="76" t="n"/>
      <c r="G35" s="76" t="n"/>
      <c r="H35" s="76" t="n"/>
      <c r="I35" s="76" t="n"/>
      <c r="J35" s="76" t="n"/>
      <c r="K35" s="77" t="n">
        <v>0.84</v>
      </c>
      <c r="L35" s="76" t="n"/>
      <c r="M35" s="76" t="n"/>
      <c r="N35" s="76" t="n"/>
      <c r="O35" s="76" t="n"/>
      <c r="P35" s="76" t="n"/>
    </row>
    <row r="36" ht="15" customHeight="1" s="65">
      <c r="A36" s="71" t="inlineStr">
        <is>
          <t>Gemini — Visibility</t>
        </is>
      </c>
      <c r="B36" s="72" t="inlineStr">
        <is>
          <t>pp</t>
        </is>
      </c>
      <c r="C36" s="72" t="inlineStr">
        <is>
          <t>Prompt Tracking &gt; Overview</t>
        </is>
      </c>
      <c r="D36" s="73" t="inlineStr">
        <is>
          <t>July = first month captured at model level.</t>
        </is>
      </c>
      <c r="E36" s="76" t="n"/>
      <c r="F36" s="76" t="n"/>
      <c r="G36" s="76" t="n"/>
      <c r="H36" s="76" t="n"/>
      <c r="I36" s="76" t="n"/>
      <c r="J36" s="76" t="n"/>
      <c r="K36" s="77" t="n">
        <v>0.95</v>
      </c>
      <c r="L36" s="76" t="n"/>
      <c r="M36" s="76" t="n"/>
      <c r="N36" s="76" t="n"/>
      <c r="O36" s="76" t="n"/>
      <c r="P36" s="76" t="n"/>
    </row>
    <row r="37" ht="15" customHeight="1" s="65">
      <c r="A37" s="71" t="inlineStr">
        <is>
          <t>Gemini — Mentions</t>
        </is>
      </c>
      <c r="B37" s="72" t="inlineStr">
        <is>
          <t>pct</t>
        </is>
      </c>
      <c r="C37" s="72" t="inlineStr">
        <is>
          <t>Prompt Tracking &gt; Overview</t>
        </is>
      </c>
      <c r="D37" s="73" t="inlineStr">
        <is>
          <t>July = first month captured at model level.</t>
        </is>
      </c>
      <c r="E37" s="74" t="n"/>
      <c r="F37" s="74" t="n"/>
      <c r="G37" s="74" t="n"/>
      <c r="H37" s="74" t="n"/>
      <c r="I37" s="74" t="n"/>
      <c r="J37" s="74" t="n"/>
      <c r="K37" s="75" t="n">
        <v>738</v>
      </c>
      <c r="L37" s="74" t="n"/>
      <c r="M37" s="74" t="n"/>
      <c r="N37" s="74" t="n"/>
      <c r="O37" s="74" t="n"/>
      <c r="P37" s="74" t="n"/>
    </row>
    <row r="38" ht="15" customHeight="1" s="65">
      <c r="A38" s="71" t="inlineStr">
        <is>
          <t>ChatGPT — Share of Voice</t>
        </is>
      </c>
      <c r="B38" s="72" t="inlineStr">
        <is>
          <t>pp</t>
        </is>
      </c>
      <c r="C38" s="72" t="inlineStr">
        <is>
          <t>Prompt Tracking &gt; Overview</t>
        </is>
      </c>
      <c r="D38" s="73" t="inlineStr">
        <is>
          <t>July = first month captured at model level.</t>
        </is>
      </c>
      <c r="E38" s="76" t="n"/>
      <c r="F38" s="76" t="n"/>
      <c r="G38" s="76" t="n"/>
      <c r="H38" s="76" t="n"/>
      <c r="I38" s="76" t="n"/>
      <c r="J38" s="76" t="n"/>
      <c r="K38" s="77" t="n">
        <v>0.73</v>
      </c>
      <c r="L38" s="76" t="n"/>
      <c r="M38" s="76" t="n"/>
      <c r="N38" s="76" t="n"/>
      <c r="O38" s="76" t="n"/>
      <c r="P38" s="76" t="n"/>
    </row>
    <row r="39" ht="15" customHeight="1" s="65">
      <c r="A39" s="71" t="inlineStr">
        <is>
          <t>ChatGPT — Visibility</t>
        </is>
      </c>
      <c r="B39" s="72" t="inlineStr">
        <is>
          <t>pp</t>
        </is>
      </c>
      <c r="C39" s="72" t="inlineStr">
        <is>
          <t>Prompt Tracking &gt; Overview</t>
        </is>
      </c>
      <c r="D39" s="73" t="inlineStr">
        <is>
          <t>July = first month captured at model level.</t>
        </is>
      </c>
      <c r="E39" s="76" t="n"/>
      <c r="F39" s="76" t="n"/>
      <c r="G39" s="76" t="n"/>
      <c r="H39" s="76" t="n"/>
      <c r="I39" s="76" t="n"/>
      <c r="J39" s="76" t="n"/>
      <c r="K39" s="77" t="n">
        <v>0.83</v>
      </c>
      <c r="L39" s="76" t="n"/>
      <c r="M39" s="76" t="n"/>
      <c r="N39" s="76" t="n"/>
      <c r="O39" s="76" t="n"/>
      <c r="P39" s="76" t="n"/>
    </row>
    <row r="40" ht="15" customHeight="1" s="65">
      <c r="A40" s="71" t="inlineStr">
        <is>
          <t>ChatGPT — Mentions</t>
        </is>
      </c>
      <c r="B40" s="72" t="inlineStr">
        <is>
          <t>pct</t>
        </is>
      </c>
      <c r="C40" s="72" t="inlineStr">
        <is>
          <t>Prompt Tracking &gt; Overview</t>
        </is>
      </c>
      <c r="D40" s="73" t="inlineStr">
        <is>
          <t>July = first month captured at model level.</t>
        </is>
      </c>
      <c r="E40" s="74" t="n"/>
      <c r="F40" s="74" t="n"/>
      <c r="G40" s="74" t="n"/>
      <c r="H40" s="74" t="n"/>
      <c r="I40" s="74" t="n"/>
      <c r="J40" s="74" t="n"/>
      <c r="K40" s="75" t="n">
        <v>652</v>
      </c>
      <c r="L40" s="74" t="n"/>
      <c r="M40" s="74" t="n"/>
      <c r="N40" s="74" t="n"/>
      <c r="O40" s="74" t="n"/>
      <c r="P40" s="74" t="n"/>
    </row>
    <row r="41" ht="23.25" customHeight="1" s="65">
      <c r="A41" s="71" t="inlineStr">
        <is>
          <t>Google AI Overview — Share of Voice</t>
        </is>
      </c>
      <c r="B41" s="72" t="inlineStr">
        <is>
          <t>pp</t>
        </is>
      </c>
      <c r="C41" s="72" t="inlineStr">
        <is>
          <t>Prompt Tracking &gt; Overview</t>
        </is>
      </c>
      <c r="D41" s="73" t="inlineStr">
        <is>
          <t>July = first month captured at model level.</t>
        </is>
      </c>
      <c r="E41" s="76" t="n"/>
      <c r="F41" s="76" t="n"/>
      <c r="G41" s="76" t="n"/>
      <c r="H41" s="76" t="n"/>
      <c r="I41" s="76" t="n"/>
      <c r="J41" s="76" t="n"/>
      <c r="K41" s="77" t="n">
        <v>0.61</v>
      </c>
      <c r="L41" s="76" t="n"/>
      <c r="M41" s="76" t="n"/>
      <c r="N41" s="76" t="n"/>
      <c r="O41" s="76" t="n"/>
      <c r="P41" s="76" t="n"/>
    </row>
    <row r="42" ht="15" customHeight="1" s="65">
      <c r="A42" s="71" t="inlineStr">
        <is>
          <t>Google AI Overview — Visibility</t>
        </is>
      </c>
      <c r="B42" s="72" t="inlineStr">
        <is>
          <t>pp</t>
        </is>
      </c>
      <c r="C42" s="72" t="inlineStr">
        <is>
          <t>Prompt Tracking &gt; Overview</t>
        </is>
      </c>
      <c r="D42" s="73" t="inlineStr">
        <is>
          <t>July = first month captured at model level.</t>
        </is>
      </c>
      <c r="E42" s="76" t="n"/>
      <c r="F42" s="76" t="n"/>
      <c r="G42" s="76" t="n"/>
      <c r="H42" s="76" t="n"/>
      <c r="I42" s="76" t="n"/>
      <c r="J42" s="76" t="n"/>
      <c r="K42" s="77" t="n">
        <v>0.7</v>
      </c>
      <c r="L42" s="76" t="n"/>
      <c r="M42" s="76" t="n"/>
      <c r="N42" s="76" t="n"/>
      <c r="O42" s="76" t="n"/>
      <c r="P42" s="76" t="n"/>
    </row>
    <row r="43" ht="15" customHeight="1" s="65">
      <c r="A43" s="71" t="inlineStr">
        <is>
          <t>Google AI Overview — Mentions</t>
        </is>
      </c>
      <c r="B43" s="72" t="inlineStr">
        <is>
          <t>pct</t>
        </is>
      </c>
      <c r="C43" s="72" t="inlineStr">
        <is>
          <t>Prompt Tracking &gt; Overview</t>
        </is>
      </c>
      <c r="D43" s="73" t="inlineStr">
        <is>
          <t>July = first month captured at model level.</t>
        </is>
      </c>
      <c r="E43" s="74" t="n"/>
      <c r="F43" s="74" t="n"/>
      <c r="G43" s="74" t="n"/>
      <c r="H43" s="74" t="n"/>
      <c r="I43" s="74" t="n"/>
      <c r="J43" s="74" t="n"/>
      <c r="K43" s="75" t="n">
        <v>478</v>
      </c>
      <c r="L43" s="74" t="n"/>
      <c r="M43" s="74" t="n"/>
      <c r="N43" s="74" t="n"/>
      <c r="O43" s="74" t="n"/>
      <c r="P43" s="74" t="n"/>
    </row>
    <row r="44"/>
    <row r="45" ht="15" customHeight="1" s="65">
      <c r="A45" s="83" t="inlineStr">
        <is>
          <t>CHATGPT DETAIL — Prompt Tracking &gt; Overview (ChatGPT filter, Jul 1-31)</t>
        </is>
      </c>
      <c r="B45" s="70" t="n"/>
      <c r="C45" s="70" t="n"/>
      <c r="D45" s="70" t="n"/>
      <c r="E45" s="70" t="n"/>
      <c r="F45" s="70" t="n"/>
      <c r="G45" s="70" t="n"/>
      <c r="H45" s="70" t="n"/>
      <c r="I45" s="70" t="n"/>
      <c r="J45" s="70" t="n"/>
      <c r="K45" s="70" t="n"/>
      <c r="L45" s="70" t="n"/>
      <c r="M45" s="70" t="n"/>
      <c r="N45" s="70" t="n"/>
      <c r="O45" s="70" t="n"/>
      <c r="P45" s="70" t="n"/>
    </row>
    <row r="46" ht="15" customHeight="1" s="65">
      <c r="A46" s="71" t="inlineStr">
        <is>
          <t>Brand mentioned (responses)</t>
        </is>
      </c>
      <c r="B46" s="72" t="inlineStr">
        <is>
          <t>pct</t>
        </is>
      </c>
      <c r="C46" s="72" t="inlineStr">
        <is>
          <t>Prompt Tracking &gt; Overview</t>
        </is>
      </c>
      <c r="D46" s="84" t="n"/>
      <c r="E46" s="74" t="n"/>
      <c r="F46" s="74" t="n"/>
      <c r="G46" s="74" t="n"/>
      <c r="H46" s="74" t="n"/>
      <c r="I46" s="74" t="n"/>
      <c r="J46" s="74" t="n"/>
      <c r="K46" s="75" t="n">
        <v>652</v>
      </c>
      <c r="L46" s="74" t="n"/>
      <c r="M46" s="74" t="n"/>
      <c r="N46" s="74" t="n"/>
      <c r="O46" s="74" t="n"/>
      <c r="P46" s="74" t="n"/>
    </row>
    <row r="47" ht="15" customHeight="1" s="65">
      <c r="A47" s="71" t="inlineStr">
        <is>
          <t>Brand NOT mentioned</t>
        </is>
      </c>
      <c r="B47" s="72" t="inlineStr">
        <is>
          <t>pct</t>
        </is>
      </c>
      <c r="C47" s="72" t="inlineStr">
        <is>
          <t>Prompt Tracking &gt; Overview</t>
        </is>
      </c>
      <c r="D47" s="84" t="n"/>
      <c r="E47" s="74" t="n"/>
      <c r="F47" s="74" t="n"/>
      <c r="G47" s="74" t="n"/>
      <c r="H47" s="74" t="n"/>
      <c r="I47" s="74" t="n"/>
      <c r="J47" s="74" t="n"/>
      <c r="K47" s="75" t="n">
        <v>123</v>
      </c>
      <c r="L47" s="74" t="n"/>
      <c r="M47" s="74" t="n"/>
      <c r="N47" s="74" t="n"/>
      <c r="O47" s="74" t="n"/>
      <c r="P47" s="74" t="n"/>
    </row>
    <row r="48" ht="15" customHeight="1" s="65">
      <c r="A48" s="71" t="inlineStr">
        <is>
          <t>Domain cited (responses)</t>
        </is>
      </c>
      <c r="B48" s="72" t="inlineStr">
        <is>
          <t>pct</t>
        </is>
      </c>
      <c r="C48" s="72" t="inlineStr">
        <is>
          <t>Prompt Tracking &gt; Overview</t>
        </is>
      </c>
      <c r="D48" s="84" t="n"/>
      <c r="E48" s="74" t="n"/>
      <c r="F48" s="74" t="n"/>
      <c r="G48" s="74" t="n"/>
      <c r="H48" s="74" t="n"/>
      <c r="I48" s="74" t="n"/>
      <c r="J48" s="74" t="n"/>
      <c r="K48" s="75" t="n">
        <v>471</v>
      </c>
      <c r="L48" s="74" t="n"/>
      <c r="M48" s="74" t="n"/>
      <c r="N48" s="74" t="n"/>
      <c r="O48" s="74" t="n"/>
      <c r="P48" s="74" t="n"/>
    </row>
    <row r="49" ht="15" customHeight="1" s="65">
      <c r="A49" s="71" t="inlineStr">
        <is>
          <t>Domain NOT cited</t>
        </is>
      </c>
      <c r="B49" s="72" t="inlineStr">
        <is>
          <t>pct</t>
        </is>
      </c>
      <c r="C49" s="72" t="inlineStr">
        <is>
          <t>Prompt Tracking &gt; Overview</t>
        </is>
      </c>
      <c r="D49" s="84" t="n"/>
      <c r="E49" s="74" t="n"/>
      <c r="F49" s="74" t="n"/>
      <c r="G49" s="74" t="n"/>
      <c r="H49" s="74" t="n"/>
      <c r="I49" s="74" t="n"/>
      <c r="J49" s="74" t="n"/>
      <c r="K49" s="75" t="n">
        <v>281</v>
      </c>
      <c r="L49" s="74" t="n"/>
      <c r="M49" s="74" t="n"/>
      <c r="N49" s="74" t="n"/>
      <c r="O49" s="74" t="n"/>
      <c r="P49" s="74" t="n"/>
    </row>
    <row r="50" ht="15" customHeight="1" s="65">
      <c r="A50" s="71" t="inlineStr">
        <is>
          <t>Share of Voice (ChatGPT)</t>
        </is>
      </c>
      <c r="B50" s="72" t="inlineStr">
        <is>
          <t>pp</t>
        </is>
      </c>
      <c r="C50" s="72" t="inlineStr">
        <is>
          <t>Prompt Tracking &gt; Overview</t>
        </is>
      </c>
      <c r="D50" s="84" t="n"/>
      <c r="E50" s="76" t="n"/>
      <c r="F50" s="76" t="n"/>
      <c r="G50" s="76" t="n"/>
      <c r="H50" s="76" t="n"/>
      <c r="I50" s="76" t="n"/>
      <c r="J50" s="76" t="n"/>
      <c r="K50" s="77" t="n">
        <v>0.73</v>
      </c>
      <c r="L50" s="76" t="n"/>
      <c r="M50" s="76" t="n"/>
      <c r="N50" s="76" t="n"/>
      <c r="O50" s="76" t="n"/>
      <c r="P50" s="76" t="n"/>
    </row>
    <row r="51" ht="15" customHeight="1" s="65">
      <c r="A51" s="71" t="inlineStr">
        <is>
          <t>Brand Visibility (ChatGPT)</t>
        </is>
      </c>
      <c r="B51" s="72" t="inlineStr">
        <is>
          <t>pp</t>
        </is>
      </c>
      <c r="C51" s="72" t="inlineStr">
        <is>
          <t>Prompt Tracking &gt; Overview</t>
        </is>
      </c>
      <c r="D51" s="84" t="n"/>
      <c r="E51" s="76" t="n"/>
      <c r="F51" s="76" t="n"/>
      <c r="G51" s="76" t="n"/>
      <c r="H51" s="76" t="n"/>
      <c r="I51" s="76" t="n"/>
      <c r="J51" s="76" t="n"/>
      <c r="K51" s="77" t="n">
        <v>0.83</v>
      </c>
      <c r="L51" s="76" t="n"/>
      <c r="M51" s="76" t="n"/>
      <c r="N51" s="76" t="n"/>
      <c r="O51" s="76" t="n"/>
      <c r="P51" s="76" t="n"/>
    </row>
    <row r="52" ht="15" customHeight="1" s="65">
      <c r="A52" s="71" t="inlineStr">
        <is>
          <t>Source Visibility (ChatGPT)</t>
        </is>
      </c>
      <c r="B52" s="72" t="inlineStr">
        <is>
          <t>pp</t>
        </is>
      </c>
      <c r="C52" s="72" t="inlineStr">
        <is>
          <t>Prompt Tracking &gt; Overview</t>
        </is>
      </c>
      <c r="D52" s="84" t="n"/>
      <c r="E52" s="76" t="n"/>
      <c r="F52" s="76" t="n"/>
      <c r="G52" s="76" t="n"/>
      <c r="H52" s="76" t="n"/>
      <c r="I52" s="76" t="n"/>
      <c r="J52" s="76" t="n"/>
      <c r="K52" s="77" t="n">
        <v>0.63</v>
      </c>
      <c r="L52" s="76" t="n"/>
      <c r="M52" s="76" t="n"/>
      <c r="N52" s="76" t="n"/>
      <c r="O52" s="76" t="n"/>
      <c r="P52" s="76" t="n"/>
    </row>
    <row r="53"/>
    <row r="54" ht="15" customHeight="1" s="65">
      <c r="A54" s="85" t="inlineStr">
        <is>
          <t>All July figures read off the 8/2 screenshots, NOT the PDF export — the PDF returned a trailing-30-day window (Jul 4 - Aug 2), not the July calendar month.</t>
        </is>
      </c>
    </row>
    <row r="55"/>
    <row r="56" ht="15" customHeight="1" s="65">
      <c r="A56" s="83" t="inlineStr">
        <is>
          <t>ALL-TOPIC MENTIONS BY MODEL — AI Visibility &gt; Visibility Overview (US)</t>
        </is>
      </c>
      <c r="B56" s="70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70" t="n"/>
      <c r="P56" s="70" t="n"/>
    </row>
    <row r="57" ht="32.25" customHeight="1" s="65">
      <c r="A57" s="71" t="inlineStr">
        <is>
          <t>All-topic mentions — AI Overview</t>
        </is>
      </c>
      <c r="B57" s="72" t="inlineStr">
        <is>
          <t>pct</t>
        </is>
      </c>
      <c r="C57" s="72" t="inlineStr">
        <is>
          <t>AI Visibility &gt; Visibility Overview</t>
        </is>
      </c>
      <c r="D57" s="73" t="inlineStr">
        <is>
          <t>Note the inversion vs tracked prompts: AI Overview leads the all-topic set, ChatGPT is last. In Prompt Tracking, Gemini leads. Different universes — say which one you mean.</t>
        </is>
      </c>
      <c r="E57" s="74" t="n"/>
      <c r="F57" s="74" t="n"/>
      <c r="G57" s="74" t="n"/>
      <c r="H57" s="74" t="n"/>
      <c r="I57" s="74" t="n"/>
      <c r="J57" s="74" t="n"/>
      <c r="K57" s="75" t="n">
        <v>251</v>
      </c>
      <c r="L57" s="74" t="n"/>
      <c r="M57" s="74" t="n"/>
      <c r="N57" s="74" t="n"/>
      <c r="O57" s="74" t="n"/>
      <c r="P57" s="74" t="n"/>
    </row>
    <row r="58" ht="32.25" customHeight="1" s="65">
      <c r="A58" s="71" t="inlineStr">
        <is>
          <t>All-topic mentions — Gemini</t>
        </is>
      </c>
      <c r="B58" s="72" t="inlineStr">
        <is>
          <t>pct</t>
        </is>
      </c>
      <c r="C58" s="72" t="inlineStr">
        <is>
          <t>AI Visibility &gt; Visibility Overview</t>
        </is>
      </c>
      <c r="D58" s="73" t="inlineStr">
        <is>
          <t>Note the inversion vs tracked prompts: AI Overview leads the all-topic set, ChatGPT is last. In Prompt Tracking, Gemini leads. Different universes — say which one you mean.</t>
        </is>
      </c>
      <c r="E58" s="74" t="n"/>
      <c r="F58" s="74" t="n"/>
      <c r="G58" s="74" t="n"/>
      <c r="H58" s="74" t="n"/>
      <c r="I58" s="74" t="n"/>
      <c r="J58" s="74" t="n"/>
      <c r="K58" s="75" t="n">
        <v>128</v>
      </c>
      <c r="L58" s="74" t="n"/>
      <c r="M58" s="74" t="n"/>
      <c r="N58" s="74" t="n"/>
      <c r="O58" s="74" t="n"/>
      <c r="P58" s="74" t="n"/>
    </row>
    <row r="59" ht="32.25" customHeight="1" s="65">
      <c r="A59" s="71" t="inlineStr">
        <is>
          <t>All-topic mentions — AI Mode</t>
        </is>
      </c>
      <c r="B59" s="72" t="inlineStr">
        <is>
          <t>pct</t>
        </is>
      </c>
      <c r="C59" s="72" t="inlineStr">
        <is>
          <t>AI Visibility &gt; Visibility Overview</t>
        </is>
      </c>
      <c r="D59" s="73" t="inlineStr">
        <is>
          <t>Note the inversion vs tracked prompts: AI Overview leads the all-topic set, ChatGPT is last. In Prompt Tracking, Gemini leads. Different universes — say which one you mean.</t>
        </is>
      </c>
      <c r="E59" s="74" t="n"/>
      <c r="F59" s="74" t="n"/>
      <c r="G59" s="74" t="n"/>
      <c r="H59" s="74" t="n"/>
      <c r="I59" s="74" t="n"/>
      <c r="J59" s="74" t="n"/>
      <c r="K59" s="75" t="n">
        <v>88</v>
      </c>
      <c r="L59" s="74" t="n"/>
      <c r="M59" s="74" t="n"/>
      <c r="N59" s="74" t="n"/>
      <c r="O59" s="74" t="n"/>
      <c r="P59" s="74" t="n"/>
    </row>
    <row r="60" ht="32.25" customHeight="1" s="65">
      <c r="A60" s="71" t="inlineStr">
        <is>
          <t>All-topic mentions — ChatGPT</t>
        </is>
      </c>
      <c r="B60" s="72" t="inlineStr">
        <is>
          <t>pct</t>
        </is>
      </c>
      <c r="C60" s="72" t="inlineStr">
        <is>
          <t>AI Visibility &gt; Visibility Overview</t>
        </is>
      </c>
      <c r="D60" s="73" t="inlineStr">
        <is>
          <t>Note the inversion vs tracked prompts: AI Overview leads the all-topic set, ChatGPT is last. In Prompt Tracking, Gemini leads. Different universes — say which one you mean.</t>
        </is>
      </c>
      <c r="E60" s="74" t="n"/>
      <c r="F60" s="74" t="n"/>
      <c r="G60" s="74" t="n"/>
      <c r="H60" s="74" t="n"/>
      <c r="I60" s="74" t="n"/>
      <c r="J60" s="74" t="n"/>
      <c r="K60" s="75" t="n">
        <v>83</v>
      </c>
      <c r="L60" s="74" t="n"/>
      <c r="M60" s="74" t="n"/>
      <c r="N60" s="74" t="n"/>
      <c r="O60" s="74" t="n"/>
      <c r="P60" s="74" t="n"/>
    </row>
    <row r="61" ht="32.25" customHeight="1" s="65">
      <c r="A61" s="71" t="inlineStr">
        <is>
          <t>All-topic mentions — All Models (sum)</t>
        </is>
      </c>
      <c r="B61" s="72" t="inlineStr">
        <is>
          <t>pct</t>
        </is>
      </c>
      <c r="C61" s="72" t="inlineStr">
        <is>
          <t>AI Visibility &gt; Visibility Overview</t>
        </is>
      </c>
      <c r="D61" s="73" t="inlineStr">
        <is>
          <t>Note the inversion vs tracked prompts: AI Overview leads the all-topic set, ChatGPT is last. In Prompt Tracking, Gemini leads. Different universes — say which one you mean.</t>
        </is>
      </c>
      <c r="E61" s="74" t="n"/>
      <c r="F61" s="74" t="n"/>
      <c r="G61" s="74" t="n"/>
      <c r="H61" s="74" t="n"/>
      <c r="I61" s="74" t="n"/>
      <c r="J61" s="74" t="n"/>
      <c r="K61" s="75" t="n">
        <v>550</v>
      </c>
      <c r="L61" s="74" t="n"/>
      <c r="M61" s="74" t="n"/>
      <c r="N61" s="74" t="n"/>
      <c r="O61" s="74" t="n"/>
      <c r="P61" s="74" t="n"/>
    </row>
    <row r="62"/>
    <row r="63" ht="15" customHeight="1" s="65">
      <c r="A63" s="67" t="inlineStr">
        <is>
          <t>Blue cells = derived from a stated percentage change, not read directly. July traffic 1,046 at +17% implies June 894; conversions 158 at +88% implies June 84; bounce 28% at -12% implies June 31.8%.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0" customWidth="1" style="64" min="1" max="1"/>
    <col width="9" customWidth="1" style="64" min="2" max="2"/>
    <col width="12" customWidth="1" style="64" min="3" max="14"/>
  </cols>
  <sheetData>
    <row r="1" ht="17.25" customHeight="1" s="65">
      <c r="A1" s="66" t="inlineStr">
        <is>
          <t>Auto-calculated changes — do not type in this sheet</t>
        </is>
      </c>
    </row>
    <row r="2" ht="15" customHeight="1" s="65">
      <c r="A2" s="67" t="inlineStr">
        <is>
          <t>MoM = change vs. prior month. YTD = change vs. the earliest month with data. 'pp' metrics show percentage-point change; 'pct' metrics show percent change; 'abs' metrics show absolute change.</t>
        </is>
      </c>
    </row>
    <row r="3" ht="15" customHeight="1" s="65">
      <c r="A3" s="67" t="inlineStr">
        <is>
          <t>The agency contact asked for YTD alongside MoM (comment, 7/22/26). That is the YTD column.</t>
        </is>
      </c>
    </row>
    <row r="4"/>
    <row r="5" ht="15" customHeight="1" s="65">
      <c r="A5" s="86" t="inlineStr">
        <is>
          <t>Metric</t>
        </is>
      </c>
      <c r="B5" s="86" t="inlineStr">
        <is>
          <t>Δ Type</t>
        </is>
      </c>
      <c r="C5" s="86" t="inlineStr">
        <is>
          <t>Feb-26 MoM</t>
        </is>
      </c>
      <c r="D5" s="86" t="inlineStr">
        <is>
          <t>Mar-26 MoM</t>
        </is>
      </c>
      <c r="E5" s="86" t="inlineStr">
        <is>
          <t>Apr-26 MoM</t>
        </is>
      </c>
      <c r="F5" s="86" t="inlineStr">
        <is>
          <t>May-26 MoM</t>
        </is>
      </c>
      <c r="G5" s="86" t="inlineStr">
        <is>
          <t>Jun-26 MoM</t>
        </is>
      </c>
      <c r="H5" s="86" t="inlineStr">
        <is>
          <t>Jul-26 MoM</t>
        </is>
      </c>
      <c r="I5" s="86" t="inlineStr">
        <is>
          <t>Aug-26 MoM</t>
        </is>
      </c>
      <c r="J5" s="86" t="inlineStr">
        <is>
          <t>Sep-26 MoM</t>
        </is>
      </c>
      <c r="K5" s="86" t="inlineStr">
        <is>
          <t>Oct-26 MoM</t>
        </is>
      </c>
      <c r="L5" s="86" t="inlineStr">
        <is>
          <t>Nov-26 MoM</t>
        </is>
      </c>
      <c r="M5" s="86" t="inlineStr">
        <is>
          <t>Dec-26 MoM</t>
        </is>
      </c>
      <c r="N5" s="86" t="inlineStr">
        <is>
          <t>YTD</t>
        </is>
      </c>
    </row>
    <row r="6" ht="15" customHeight="1" s="65">
      <c r="A6" s="69" t="inlineStr">
        <is>
          <t>VISIBILITY OVERVIEW (all topics — not tracked prompts)</t>
        </is>
      </c>
      <c r="B6" s="70" t="n"/>
      <c r="C6" s="70" t="n"/>
      <c r="D6" s="70" t="n"/>
      <c r="E6" s="70" t="n"/>
      <c r="F6" s="70" t="n"/>
      <c r="G6" s="70" t="n"/>
      <c r="H6" s="70" t="n"/>
      <c r="I6" s="70" t="n"/>
      <c r="J6" s="70" t="n"/>
      <c r="K6" s="70" t="n"/>
      <c r="L6" s="70" t="n"/>
      <c r="M6" s="70" t="n"/>
      <c r="N6" s="70" t="n"/>
    </row>
    <row r="7" ht="15" customHeight="1" s="65">
      <c r="A7" s="87" t="inlineStr">
        <is>
          <t>AI Visibility score</t>
        </is>
      </c>
      <c r="B7" s="88" t="inlineStr">
        <is>
          <t>pp</t>
        </is>
      </c>
      <c r="C7" s="89">
        <f>IFERROR(IF(OR(Metrics!F7="",Metrics!E7=""),"",Metrics!F7-Metrics!E7),"")</f>
        <v/>
      </c>
      <c r="D7" s="89">
        <f>IFERROR(IF(OR(Metrics!G7="",Metrics!F7=""),"",Metrics!G7-Metrics!F7),"")</f>
        <v/>
      </c>
      <c r="E7" s="89">
        <f>IFERROR(IF(OR(Metrics!H7="",Metrics!G7=""),"",Metrics!H7-Metrics!G7),"")</f>
        <v/>
      </c>
      <c r="F7" s="89">
        <f>IFERROR(IF(OR(Metrics!I7="",Metrics!H7=""),"",Metrics!I7-Metrics!H7),"")</f>
        <v/>
      </c>
      <c r="G7" s="89">
        <f>IFERROR(IF(OR(Metrics!J7="",Metrics!I7=""),"",Metrics!J7-Metrics!I7),"")</f>
        <v/>
      </c>
      <c r="H7" s="89">
        <f>IFERROR(IF(OR(Metrics!K7="",Metrics!J7=""),"",Metrics!K7-Metrics!J7),"")</f>
        <v/>
      </c>
      <c r="I7" s="89">
        <f>IFERROR(IF(OR(Metrics!L7="",Metrics!K7=""),"",Metrics!L7-Metrics!K7),"")</f>
        <v/>
      </c>
      <c r="J7" s="89">
        <f>IFERROR(IF(OR(Metrics!M7="",Metrics!L7=""),"",Metrics!M7-Metrics!L7),"")</f>
        <v/>
      </c>
      <c r="K7" s="89">
        <f>IFERROR(IF(OR(Metrics!N7="",Metrics!M7=""),"",Metrics!N7-Metrics!M7),"")</f>
        <v/>
      </c>
      <c r="L7" s="89">
        <f>IFERROR(IF(OR(Metrics!O7="",Metrics!N7=""),"",Metrics!O7-Metrics!N7),"")</f>
        <v/>
      </c>
      <c r="M7" s="89">
        <f>IFERROR(IF(OR(Metrics!P7="",Metrics!O7=""),"",Metrics!P7-Metrics!O7),"")</f>
        <v/>
      </c>
      <c r="N7" s="90">
        <f>IFERROR(INDEX(Metrics!$E$7:$P$7,MATCH(9.99E+307,Metrics!$E$7:$P$7))-INDEX(Metrics!$E$7:$P$7,MATCH(TRUE(),INDEX(Metrics!$E$7:$P$7&lt;&gt;"",0),0)),"")</f>
        <v/>
      </c>
    </row>
    <row r="8" ht="15" customHeight="1" s="65">
      <c r="A8" s="87" t="inlineStr">
        <is>
          <t>Share of Voice — overall</t>
        </is>
      </c>
      <c r="B8" s="88" t="inlineStr">
        <is>
          <t>pp</t>
        </is>
      </c>
      <c r="C8" s="89">
        <f>IFERROR(IF(OR(Metrics!F8="",Metrics!E8=""),"",Metrics!F8-Metrics!E8),"")</f>
        <v/>
      </c>
      <c r="D8" s="89">
        <f>IFERROR(IF(OR(Metrics!G8="",Metrics!F8=""),"",Metrics!G8-Metrics!F8),"")</f>
        <v/>
      </c>
      <c r="E8" s="89">
        <f>IFERROR(IF(OR(Metrics!H8="",Metrics!G8=""),"",Metrics!H8-Metrics!G8),"")</f>
        <v/>
      </c>
      <c r="F8" s="89">
        <f>IFERROR(IF(OR(Metrics!I8="",Metrics!H8=""),"",Metrics!I8-Metrics!H8),"")</f>
        <v/>
      </c>
      <c r="G8" s="89">
        <f>IFERROR(IF(OR(Metrics!J8="",Metrics!I8=""),"",Metrics!J8-Metrics!I8),"")</f>
        <v/>
      </c>
      <c r="H8" s="89">
        <f>IFERROR(IF(OR(Metrics!K8="",Metrics!J8=""),"",Metrics!K8-Metrics!J8),"")</f>
        <v/>
      </c>
      <c r="I8" s="89">
        <f>IFERROR(IF(OR(Metrics!L8="",Metrics!K8=""),"",Metrics!L8-Metrics!K8),"")</f>
        <v/>
      </c>
      <c r="J8" s="89">
        <f>IFERROR(IF(OR(Metrics!M8="",Metrics!L8=""),"",Metrics!M8-Metrics!L8),"")</f>
        <v/>
      </c>
      <c r="K8" s="89">
        <f>IFERROR(IF(OR(Metrics!N8="",Metrics!M8=""),"",Metrics!N8-Metrics!M8),"")</f>
        <v/>
      </c>
      <c r="L8" s="89">
        <f>IFERROR(IF(OR(Metrics!O8="",Metrics!N8=""),"",Metrics!O8-Metrics!N8),"")</f>
        <v/>
      </c>
      <c r="M8" s="89">
        <f>IFERROR(IF(OR(Metrics!P8="",Metrics!O8=""),"",Metrics!P8-Metrics!O8),"")</f>
        <v/>
      </c>
      <c r="N8" s="90">
        <f>IFERROR(INDEX(Metrics!$E$8:$P$8,MATCH(9.99E+307,Metrics!$E$8:$P$8))-INDEX(Metrics!$E$8:$P$8,MATCH(TRUE(),INDEX(Metrics!$E$8:$P$8&lt;&gt;"",0),0)),"")</f>
        <v/>
      </c>
    </row>
    <row r="9" ht="15" customHeight="1" s="65">
      <c r="A9" s="87" t="inlineStr">
        <is>
          <t>Source Visibility — overall</t>
        </is>
      </c>
      <c r="B9" s="88" t="inlineStr">
        <is>
          <t>pp</t>
        </is>
      </c>
      <c r="C9" s="89">
        <f>IFERROR(IF(OR(Metrics!F9="",Metrics!E9=""),"",Metrics!F9-Metrics!E9),"")</f>
        <v/>
      </c>
      <c r="D9" s="89">
        <f>IFERROR(IF(OR(Metrics!G9="",Metrics!F9=""),"",Metrics!G9-Metrics!F9),"")</f>
        <v/>
      </c>
      <c r="E9" s="89">
        <f>IFERROR(IF(OR(Metrics!H9="",Metrics!G9=""),"",Metrics!H9-Metrics!G9),"")</f>
        <v/>
      </c>
      <c r="F9" s="89">
        <f>IFERROR(IF(OR(Metrics!I9="",Metrics!H9=""),"",Metrics!I9-Metrics!H9),"")</f>
        <v/>
      </c>
      <c r="G9" s="89">
        <f>IFERROR(IF(OR(Metrics!J9="",Metrics!I9=""),"",Metrics!J9-Metrics!I9),"")</f>
        <v/>
      </c>
      <c r="H9" s="89">
        <f>IFERROR(IF(OR(Metrics!K9="",Metrics!J9=""),"",Metrics!K9-Metrics!J9),"")</f>
        <v/>
      </c>
      <c r="I9" s="89">
        <f>IFERROR(IF(OR(Metrics!L9="",Metrics!K9=""),"",Metrics!L9-Metrics!K9),"")</f>
        <v/>
      </c>
      <c r="J9" s="89">
        <f>IFERROR(IF(OR(Metrics!M9="",Metrics!L9=""),"",Metrics!M9-Metrics!L9),"")</f>
        <v/>
      </c>
      <c r="K9" s="89">
        <f>IFERROR(IF(OR(Metrics!N9="",Metrics!M9=""),"",Metrics!N9-Metrics!M9),"")</f>
        <v/>
      </c>
      <c r="L9" s="89">
        <f>IFERROR(IF(OR(Metrics!O9="",Metrics!N9=""),"",Metrics!O9-Metrics!N9),"")</f>
        <v/>
      </c>
      <c r="M9" s="89">
        <f>IFERROR(IF(OR(Metrics!P9="",Metrics!O9=""),"",Metrics!P9-Metrics!O9),"")</f>
        <v/>
      </c>
      <c r="N9" s="90">
        <f>IFERROR(INDEX(Metrics!$E$9:$P$9,MATCH(9.99E+307,Metrics!$E$9:$P$9))-INDEX(Metrics!$E$9:$P$9,MATCH(TRUE(),INDEX(Metrics!$E$9:$P$9&lt;&gt;"",0),0)),"")</f>
        <v/>
      </c>
    </row>
    <row r="10" ht="15" customHeight="1" s="65">
      <c r="A10" s="87" t="inlineStr">
        <is>
          <t>Brand Mentions — total</t>
        </is>
      </c>
      <c r="B10" s="88" t="inlineStr">
        <is>
          <t>pct</t>
        </is>
      </c>
      <c r="C10" s="89">
        <f>IFERROR(IF(OR(Metrics!F10="",Metrics!E10="",Metrics!E10=0),"",Metrics!F10/Metrics!E10-1),"")</f>
        <v/>
      </c>
      <c r="D10" s="89">
        <f>IFERROR(IF(OR(Metrics!G10="",Metrics!F10="",Metrics!F10=0),"",Metrics!G10/Metrics!F10-1),"")</f>
        <v/>
      </c>
      <c r="E10" s="89">
        <f>IFERROR(IF(OR(Metrics!H10="",Metrics!G10="",Metrics!G10=0),"",Metrics!H10/Metrics!G10-1),"")</f>
        <v/>
      </c>
      <c r="F10" s="89">
        <f>IFERROR(IF(OR(Metrics!I10="",Metrics!H10="",Metrics!H10=0),"",Metrics!I10/Metrics!H10-1),"")</f>
        <v/>
      </c>
      <c r="G10" s="89">
        <f>IFERROR(IF(OR(Metrics!J10="",Metrics!I10="",Metrics!I10=0),"",Metrics!J10/Metrics!I10-1),"")</f>
        <v/>
      </c>
      <c r="H10" s="89">
        <f>IFERROR(IF(OR(Metrics!K10="",Metrics!J10="",Metrics!J10=0),"",Metrics!K10/Metrics!J10-1),"")</f>
        <v/>
      </c>
      <c r="I10" s="89">
        <f>IFERROR(IF(OR(Metrics!L10="",Metrics!K10="",Metrics!K10=0),"",Metrics!L10/Metrics!K10-1),"")</f>
        <v/>
      </c>
      <c r="J10" s="89">
        <f>IFERROR(IF(OR(Metrics!M10="",Metrics!L10="",Metrics!L10=0),"",Metrics!M10/Metrics!L10-1),"")</f>
        <v/>
      </c>
      <c r="K10" s="89">
        <f>IFERROR(IF(OR(Metrics!N10="",Metrics!M10="",Metrics!M10=0),"",Metrics!N10/Metrics!M10-1),"")</f>
        <v/>
      </c>
      <c r="L10" s="89">
        <f>IFERROR(IF(OR(Metrics!O10="",Metrics!N10="",Metrics!N10=0),"",Metrics!O10/Metrics!N10-1),"")</f>
        <v/>
      </c>
      <c r="M10" s="89">
        <f>IFERROR(IF(OR(Metrics!P10="",Metrics!O10="",Metrics!O10=0),"",Metrics!P10/Metrics!O10-1),"")</f>
        <v/>
      </c>
      <c r="N10" s="90">
        <f>IFERROR(IF(INDEX(Metrics!$E$10:$P$10,MATCH(TRUE(),INDEX(Metrics!$E$10:$P$10&lt;&gt;"",0),0))=0,"",INDEX(Metrics!$E$10:$P$10,MATCH(9.99E+307,Metrics!$E$10:$P$10))/INDEX(Metrics!$E$10:$P$10,MATCH(TRUE(),INDEX(Metrics!$E$10:$P$10&lt;&gt;"",0),0))-1),"")</f>
        <v/>
      </c>
    </row>
    <row r="11" ht="15" customHeight="1" s="65">
      <c r="A11" s="87" t="inlineStr">
        <is>
          <t>Monthly Audience</t>
        </is>
      </c>
      <c r="B11" s="88" t="inlineStr">
        <is>
          <t>pct</t>
        </is>
      </c>
      <c r="C11" s="89">
        <f>IFERROR(IF(OR(Metrics!F11="",Metrics!E11="",Metrics!E11=0),"",Metrics!F11/Metrics!E11-1),"")</f>
        <v/>
      </c>
      <c r="D11" s="89">
        <f>IFERROR(IF(OR(Metrics!G11="",Metrics!F11="",Metrics!F11=0),"",Metrics!G11/Metrics!F11-1),"")</f>
        <v/>
      </c>
      <c r="E11" s="89">
        <f>IFERROR(IF(OR(Metrics!H11="",Metrics!G11="",Metrics!G11=0),"",Metrics!H11/Metrics!G11-1),"")</f>
        <v/>
      </c>
      <c r="F11" s="89">
        <f>IFERROR(IF(OR(Metrics!I11="",Metrics!H11="",Metrics!H11=0),"",Metrics!I11/Metrics!H11-1),"")</f>
        <v/>
      </c>
      <c r="G11" s="89">
        <f>IFERROR(IF(OR(Metrics!J11="",Metrics!I11="",Metrics!I11=0),"",Metrics!J11/Metrics!I11-1),"")</f>
        <v/>
      </c>
      <c r="H11" s="89">
        <f>IFERROR(IF(OR(Metrics!K11="",Metrics!J11="",Metrics!J11=0),"",Metrics!K11/Metrics!J11-1),"")</f>
        <v/>
      </c>
      <c r="I11" s="89">
        <f>IFERROR(IF(OR(Metrics!L11="",Metrics!K11="",Metrics!K11=0),"",Metrics!L11/Metrics!K11-1),"")</f>
        <v/>
      </c>
      <c r="J11" s="89">
        <f>IFERROR(IF(OR(Metrics!M11="",Metrics!L11="",Metrics!L11=0),"",Metrics!M11/Metrics!L11-1),"")</f>
        <v/>
      </c>
      <c r="K11" s="89">
        <f>IFERROR(IF(OR(Metrics!N11="",Metrics!M11="",Metrics!M11=0),"",Metrics!N11/Metrics!M11-1),"")</f>
        <v/>
      </c>
      <c r="L11" s="89">
        <f>IFERROR(IF(OR(Metrics!O11="",Metrics!N11="",Metrics!N11=0),"",Metrics!O11/Metrics!N11-1),"")</f>
        <v/>
      </c>
      <c r="M11" s="89">
        <f>IFERROR(IF(OR(Metrics!P11="",Metrics!O11="",Metrics!O11=0),"",Metrics!P11/Metrics!O11-1),"")</f>
        <v/>
      </c>
      <c r="N11" s="90">
        <f>IFERROR(IF(INDEX(Metrics!$E$11:$P$11,MATCH(TRUE(),INDEX(Metrics!$E$11:$P$11&lt;&gt;"",0),0))=0,"",INDEX(Metrics!$E$11:$P$11,MATCH(9.99E+307,Metrics!$E$11:$P$11))/INDEX(Metrics!$E$11:$P$11,MATCH(TRUE(),INDEX(Metrics!$E$11:$P$11&lt;&gt;"",0),0))-1),"")</f>
        <v/>
      </c>
    </row>
    <row r="12" ht="15" customHeight="1" s="65">
      <c r="A12" s="87" t="inlineStr">
        <is>
          <t>Cited Pages</t>
        </is>
      </c>
      <c r="B12" s="88" t="inlineStr">
        <is>
          <t>pct</t>
        </is>
      </c>
      <c r="C12" s="89">
        <f>IFERROR(IF(OR(Metrics!F12="",Metrics!E12="",Metrics!E12=0),"",Metrics!F12/Metrics!E12-1),"")</f>
        <v/>
      </c>
      <c r="D12" s="89">
        <f>IFERROR(IF(OR(Metrics!G12="",Metrics!F12="",Metrics!F12=0),"",Metrics!G12/Metrics!F12-1),"")</f>
        <v/>
      </c>
      <c r="E12" s="89">
        <f>IFERROR(IF(OR(Metrics!H12="",Metrics!G12="",Metrics!G12=0),"",Metrics!H12/Metrics!G12-1),"")</f>
        <v/>
      </c>
      <c r="F12" s="89">
        <f>IFERROR(IF(OR(Metrics!I12="",Metrics!H12="",Metrics!H12=0),"",Metrics!I12/Metrics!H12-1),"")</f>
        <v/>
      </c>
      <c r="G12" s="89">
        <f>IFERROR(IF(OR(Metrics!J12="",Metrics!I12="",Metrics!I12=0),"",Metrics!J12/Metrics!I12-1),"")</f>
        <v/>
      </c>
      <c r="H12" s="89">
        <f>IFERROR(IF(OR(Metrics!K12="",Metrics!J12="",Metrics!J12=0),"",Metrics!K12/Metrics!J12-1),"")</f>
        <v/>
      </c>
      <c r="I12" s="89">
        <f>IFERROR(IF(OR(Metrics!L12="",Metrics!K12="",Metrics!K12=0),"",Metrics!L12/Metrics!K12-1),"")</f>
        <v/>
      </c>
      <c r="J12" s="89">
        <f>IFERROR(IF(OR(Metrics!M12="",Metrics!L12="",Metrics!L12=0),"",Metrics!M12/Metrics!L12-1),"")</f>
        <v/>
      </c>
      <c r="K12" s="89">
        <f>IFERROR(IF(OR(Metrics!N12="",Metrics!M12="",Metrics!M12=0),"",Metrics!N12/Metrics!M12-1),"")</f>
        <v/>
      </c>
      <c r="L12" s="89">
        <f>IFERROR(IF(OR(Metrics!O12="",Metrics!N12="",Metrics!N12=0),"",Metrics!O12/Metrics!N12-1),"")</f>
        <v/>
      </c>
      <c r="M12" s="89">
        <f>IFERROR(IF(OR(Metrics!P12="",Metrics!O12="",Metrics!O12=0),"",Metrics!P12/Metrics!O12-1),"")</f>
        <v/>
      </c>
      <c r="N12" s="90">
        <f>IFERROR(IF(INDEX(Metrics!$E$12:$P$12,MATCH(TRUE(),INDEX(Metrics!$E$12:$P$12&lt;&gt;"",0),0))=0,"",INDEX(Metrics!$E$12:$P$12,MATCH(9.99E+307,Metrics!$E$12:$P$12))/INDEX(Metrics!$E$12:$P$12,MATCH(TRUE(),INDEX(Metrics!$E$12:$P$12&lt;&gt;"",0),0))-1),"")</f>
        <v/>
      </c>
    </row>
    <row r="13" ht="15" customHeight="1" s="65">
      <c r="A13" s="87" t="inlineStr">
        <is>
          <t>Negative Sentiment %</t>
        </is>
      </c>
      <c r="B13" s="88" t="inlineStr">
        <is>
          <t>pp</t>
        </is>
      </c>
      <c r="C13" s="89">
        <f>IFERROR(IF(OR(Metrics!F13="",Metrics!E13=""),"",Metrics!F13-Metrics!E13),"")</f>
        <v/>
      </c>
      <c r="D13" s="89">
        <f>IFERROR(IF(OR(Metrics!G13="",Metrics!F13=""),"",Metrics!G13-Metrics!F13),"")</f>
        <v/>
      </c>
      <c r="E13" s="89">
        <f>IFERROR(IF(OR(Metrics!H13="",Metrics!G13=""),"",Metrics!H13-Metrics!G13),"")</f>
        <v/>
      </c>
      <c r="F13" s="89">
        <f>IFERROR(IF(OR(Metrics!I13="",Metrics!H13=""),"",Metrics!I13-Metrics!H13),"")</f>
        <v/>
      </c>
      <c r="G13" s="89">
        <f>IFERROR(IF(OR(Metrics!J13="",Metrics!I13=""),"",Metrics!J13-Metrics!I13),"")</f>
        <v/>
      </c>
      <c r="H13" s="89">
        <f>IFERROR(IF(OR(Metrics!K13="",Metrics!J13=""),"",Metrics!K13-Metrics!J13),"")</f>
        <v/>
      </c>
      <c r="I13" s="89">
        <f>IFERROR(IF(OR(Metrics!L13="",Metrics!K13=""),"",Metrics!L13-Metrics!K13),"")</f>
        <v/>
      </c>
      <c r="J13" s="89">
        <f>IFERROR(IF(OR(Metrics!M13="",Metrics!L13=""),"",Metrics!M13-Metrics!L13),"")</f>
        <v/>
      </c>
      <c r="K13" s="89">
        <f>IFERROR(IF(OR(Metrics!N13="",Metrics!M13=""),"",Metrics!N13-Metrics!M13),"")</f>
        <v/>
      </c>
      <c r="L13" s="89">
        <f>IFERROR(IF(OR(Metrics!O13="",Metrics!N13=""),"",Metrics!O13-Metrics!N13),"")</f>
        <v/>
      </c>
      <c r="M13" s="89">
        <f>IFERROR(IF(OR(Metrics!P13="",Metrics!O13=""),"",Metrics!P13-Metrics!O13),"")</f>
        <v/>
      </c>
      <c r="N13" s="90">
        <f>IFERROR(INDEX(Metrics!$E$13:$P$13,MATCH(9.99E+307,Metrics!$E$13:$P$13))-INDEX(Metrics!$E$13:$P$13,MATCH(TRUE(),INDEX(Metrics!$E$13:$P$13&lt;&gt;"",0),0)),"")</f>
        <v/>
      </c>
    </row>
    <row r="14" ht="15" customHeight="1" s="65">
      <c r="A14" s="87" t="inlineStr">
        <is>
          <t>Reddit citations</t>
        </is>
      </c>
      <c r="B14" s="88" t="inlineStr">
        <is>
          <t>pct</t>
        </is>
      </c>
      <c r="C14" s="89">
        <f>IFERROR(IF(OR(Metrics!F14="",Metrics!E14="",Metrics!E14=0),"",Metrics!F14/Metrics!E14-1),"")</f>
        <v/>
      </c>
      <c r="D14" s="89">
        <f>IFERROR(IF(OR(Metrics!G14="",Metrics!F14="",Metrics!F14=0),"",Metrics!G14/Metrics!F14-1),"")</f>
        <v/>
      </c>
      <c r="E14" s="89">
        <f>IFERROR(IF(OR(Metrics!H14="",Metrics!G14="",Metrics!G14=0),"",Metrics!H14/Metrics!G14-1),"")</f>
        <v/>
      </c>
      <c r="F14" s="89">
        <f>IFERROR(IF(OR(Metrics!I14="",Metrics!H14="",Metrics!H14=0),"",Metrics!I14/Metrics!H14-1),"")</f>
        <v/>
      </c>
      <c r="G14" s="89">
        <f>IFERROR(IF(OR(Metrics!J14="",Metrics!I14="",Metrics!I14=0),"",Metrics!J14/Metrics!I14-1),"")</f>
        <v/>
      </c>
      <c r="H14" s="89">
        <f>IFERROR(IF(OR(Metrics!K14="",Metrics!J14="",Metrics!J14=0),"",Metrics!K14/Metrics!J14-1),"")</f>
        <v/>
      </c>
      <c r="I14" s="89">
        <f>IFERROR(IF(OR(Metrics!L14="",Metrics!K14="",Metrics!K14=0),"",Metrics!L14/Metrics!K14-1),"")</f>
        <v/>
      </c>
      <c r="J14" s="89">
        <f>IFERROR(IF(OR(Metrics!M14="",Metrics!L14="",Metrics!L14=0),"",Metrics!M14/Metrics!L14-1),"")</f>
        <v/>
      </c>
      <c r="K14" s="89">
        <f>IFERROR(IF(OR(Metrics!N14="",Metrics!M14="",Metrics!M14=0),"",Metrics!N14/Metrics!M14-1),"")</f>
        <v/>
      </c>
      <c r="L14" s="89">
        <f>IFERROR(IF(OR(Metrics!O14="",Metrics!N14="",Metrics!N14=0),"",Metrics!O14/Metrics!N14-1),"")</f>
        <v/>
      </c>
      <c r="M14" s="89">
        <f>IFERROR(IF(OR(Metrics!P14="",Metrics!O14="",Metrics!O14=0),"",Metrics!P14/Metrics!O14-1),"")</f>
        <v/>
      </c>
      <c r="N14" s="90">
        <f>IFERROR(IF(INDEX(Metrics!$E$14:$P$14,MATCH(TRUE(),INDEX(Metrics!$E$14:$P$14&lt;&gt;"",0),0))=0,"",INDEX(Metrics!$E$14:$P$14,MATCH(9.99E+307,Metrics!$E$14:$P$14))/INDEX(Metrics!$E$14:$P$14,MATCH(TRUE(),INDEX(Metrics!$E$14:$P$14&lt;&gt;"",0),0))-1),"")</f>
        <v/>
      </c>
    </row>
    <row r="15" ht="15" customHeight="1" s="65">
      <c r="A15" s="69" t="inlineStr">
        <is>
          <t>TRACKED PROMPTS (the managed prompt set)</t>
        </is>
      </c>
      <c r="B15" s="70" t="n"/>
      <c r="C15" s="70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  <c r="M15" s="70" t="n"/>
      <c r="N15" s="70" t="n"/>
    </row>
    <row r="16" ht="15" customHeight="1" s="65">
      <c r="A16" s="87" t="inlineStr">
        <is>
          <t>Prompts tracked (count)</t>
        </is>
      </c>
      <c r="B16" s="88" t="inlineStr">
        <is>
          <t>abs</t>
        </is>
      </c>
      <c r="C16" s="91">
        <f>IFERROR(IF(OR(Metrics!F16="",Metrics!E16=""),"",Metrics!F16-Metrics!E16),"")</f>
        <v/>
      </c>
      <c r="D16" s="91">
        <f>IFERROR(IF(OR(Metrics!G16="",Metrics!F16=""),"",Metrics!G16-Metrics!F16),"")</f>
        <v/>
      </c>
      <c r="E16" s="91">
        <f>IFERROR(IF(OR(Metrics!H16="",Metrics!G16=""),"",Metrics!H16-Metrics!G16),"")</f>
        <v/>
      </c>
      <c r="F16" s="91">
        <f>IFERROR(IF(OR(Metrics!I16="",Metrics!H16=""),"",Metrics!I16-Metrics!H16),"")</f>
        <v/>
      </c>
      <c r="G16" s="91">
        <f>IFERROR(IF(OR(Metrics!J16="",Metrics!I16=""),"",Metrics!J16-Metrics!I16),"")</f>
        <v/>
      </c>
      <c r="H16" s="91">
        <f>IFERROR(IF(OR(Metrics!K16="",Metrics!J16=""),"",Metrics!K16-Metrics!J16),"")</f>
        <v/>
      </c>
      <c r="I16" s="91">
        <f>IFERROR(IF(OR(Metrics!L16="",Metrics!K16=""),"",Metrics!L16-Metrics!K16),"")</f>
        <v/>
      </c>
      <c r="J16" s="91">
        <f>IFERROR(IF(OR(Metrics!M16="",Metrics!L16=""),"",Metrics!M16-Metrics!L16),"")</f>
        <v/>
      </c>
      <c r="K16" s="91">
        <f>IFERROR(IF(OR(Metrics!N16="",Metrics!M16=""),"",Metrics!N16-Metrics!M16),"")</f>
        <v/>
      </c>
      <c r="L16" s="91">
        <f>IFERROR(IF(OR(Metrics!O16="",Metrics!N16=""),"",Metrics!O16-Metrics!N16),"")</f>
        <v/>
      </c>
      <c r="M16" s="91">
        <f>IFERROR(IF(OR(Metrics!P16="",Metrics!O16=""),"",Metrics!P16-Metrics!O16),"")</f>
        <v/>
      </c>
      <c r="N16" s="92">
        <f>IFERROR(INDEX(Metrics!$E$16:$P$16,MATCH(9.99E+307,Metrics!$E$16:$P$16))-INDEX(Metrics!$E$16:$P$16,MATCH(TRUE(),INDEX(Metrics!$E$16:$P$16&lt;&gt;"",0),0)),"")</f>
        <v/>
      </c>
    </row>
    <row r="17" ht="15" customHeight="1" s="65">
      <c r="A17" s="87" t="inlineStr">
        <is>
          <t>Models tracked (count)</t>
        </is>
      </c>
      <c r="B17" s="88" t="inlineStr">
        <is>
          <t>abs</t>
        </is>
      </c>
      <c r="C17" s="91">
        <f>IFERROR(IF(OR(Metrics!F17="",Metrics!E17=""),"",Metrics!F17-Metrics!E17),"")</f>
        <v/>
      </c>
      <c r="D17" s="91">
        <f>IFERROR(IF(OR(Metrics!G17="",Metrics!F17=""),"",Metrics!G17-Metrics!F17),"")</f>
        <v/>
      </c>
      <c r="E17" s="91">
        <f>IFERROR(IF(OR(Metrics!H17="",Metrics!G17=""),"",Metrics!H17-Metrics!G17),"")</f>
        <v/>
      </c>
      <c r="F17" s="91">
        <f>IFERROR(IF(OR(Metrics!I17="",Metrics!H17=""),"",Metrics!I17-Metrics!H17),"")</f>
        <v/>
      </c>
      <c r="G17" s="91">
        <f>IFERROR(IF(OR(Metrics!J17="",Metrics!I17=""),"",Metrics!J17-Metrics!I17),"")</f>
        <v/>
      </c>
      <c r="H17" s="91">
        <f>IFERROR(IF(OR(Metrics!K17="",Metrics!J17=""),"",Metrics!K17-Metrics!J17),"")</f>
        <v/>
      </c>
      <c r="I17" s="91">
        <f>IFERROR(IF(OR(Metrics!L17="",Metrics!K17=""),"",Metrics!L17-Metrics!K17),"")</f>
        <v/>
      </c>
      <c r="J17" s="91">
        <f>IFERROR(IF(OR(Metrics!M17="",Metrics!L17=""),"",Metrics!M17-Metrics!L17),"")</f>
        <v/>
      </c>
      <c r="K17" s="91">
        <f>IFERROR(IF(OR(Metrics!N17="",Metrics!M17=""),"",Metrics!N17-Metrics!M17),"")</f>
        <v/>
      </c>
      <c r="L17" s="91">
        <f>IFERROR(IF(OR(Metrics!O17="",Metrics!N17=""),"",Metrics!O17-Metrics!N17),"")</f>
        <v/>
      </c>
      <c r="M17" s="91">
        <f>IFERROR(IF(OR(Metrics!P17="",Metrics!O17=""),"",Metrics!P17-Metrics!O17),"")</f>
        <v/>
      </c>
      <c r="N17" s="92">
        <f>IFERROR(INDEX(Metrics!$E$17:$P$17,MATCH(9.99E+307,Metrics!$E$17:$P$17))-INDEX(Metrics!$E$17:$P$17,MATCH(TRUE(),INDEX(Metrics!$E$17:$P$17&lt;&gt;"",0),0)),"")</f>
        <v/>
      </c>
    </row>
    <row r="18" ht="15" customHeight="1" s="65">
      <c r="A18" s="87" t="inlineStr">
        <is>
          <t>Share of Voice — tracked</t>
        </is>
      </c>
      <c r="B18" s="88" t="inlineStr">
        <is>
          <t>pp</t>
        </is>
      </c>
      <c r="C18" s="89">
        <f>IFERROR(IF(OR(Metrics!F18="",Metrics!E18=""),"",Metrics!F18-Metrics!E18),"")</f>
        <v/>
      </c>
      <c r="D18" s="89">
        <f>IFERROR(IF(OR(Metrics!G18="",Metrics!F18=""),"",Metrics!G18-Metrics!F18),"")</f>
        <v/>
      </c>
      <c r="E18" s="89">
        <f>IFERROR(IF(OR(Metrics!H18="",Metrics!G18=""),"",Metrics!H18-Metrics!G18),"")</f>
        <v/>
      </c>
      <c r="F18" s="89">
        <f>IFERROR(IF(OR(Metrics!I18="",Metrics!H18=""),"",Metrics!I18-Metrics!H18),"")</f>
        <v/>
      </c>
      <c r="G18" s="89">
        <f>IFERROR(IF(OR(Metrics!J18="",Metrics!I18=""),"",Metrics!J18-Metrics!I18),"")</f>
        <v/>
      </c>
      <c r="H18" s="89">
        <f>IFERROR(IF(OR(Metrics!K18="",Metrics!J18=""),"",Metrics!K18-Metrics!J18),"")</f>
        <v/>
      </c>
      <c r="I18" s="89">
        <f>IFERROR(IF(OR(Metrics!L18="",Metrics!K18=""),"",Metrics!L18-Metrics!K18),"")</f>
        <v/>
      </c>
      <c r="J18" s="89">
        <f>IFERROR(IF(OR(Metrics!M18="",Metrics!L18=""),"",Metrics!M18-Metrics!L18),"")</f>
        <v/>
      </c>
      <c r="K18" s="89">
        <f>IFERROR(IF(OR(Metrics!N18="",Metrics!M18=""),"",Metrics!N18-Metrics!M18),"")</f>
        <v/>
      </c>
      <c r="L18" s="89">
        <f>IFERROR(IF(OR(Metrics!O18="",Metrics!N18=""),"",Metrics!O18-Metrics!N18),"")</f>
        <v/>
      </c>
      <c r="M18" s="89">
        <f>IFERROR(IF(OR(Metrics!P18="",Metrics!O18=""),"",Metrics!P18-Metrics!O18),"")</f>
        <v/>
      </c>
      <c r="N18" s="90">
        <f>IFERROR(INDEX(Metrics!$E$18:$P$18,MATCH(9.99E+307,Metrics!$E$18:$P$18))-INDEX(Metrics!$E$18:$P$18,MATCH(TRUE(),INDEX(Metrics!$E$18:$P$18&lt;&gt;"",0),0)),"")</f>
        <v/>
      </c>
    </row>
    <row r="19" ht="15" customHeight="1" s="65">
      <c r="A19" s="87" t="inlineStr">
        <is>
          <t>Brand Visibility — tracked</t>
        </is>
      </c>
      <c r="B19" s="88" t="inlineStr">
        <is>
          <t>pp</t>
        </is>
      </c>
      <c r="C19" s="89">
        <f>IFERROR(IF(OR(Metrics!F19="",Metrics!E19=""),"",Metrics!F19-Metrics!E19),"")</f>
        <v/>
      </c>
      <c r="D19" s="89">
        <f>IFERROR(IF(OR(Metrics!G19="",Metrics!F19=""),"",Metrics!G19-Metrics!F19),"")</f>
        <v/>
      </c>
      <c r="E19" s="89">
        <f>IFERROR(IF(OR(Metrics!H19="",Metrics!G19=""),"",Metrics!H19-Metrics!G19),"")</f>
        <v/>
      </c>
      <c r="F19" s="89">
        <f>IFERROR(IF(OR(Metrics!I19="",Metrics!H19=""),"",Metrics!I19-Metrics!H19),"")</f>
        <v/>
      </c>
      <c r="G19" s="89">
        <f>IFERROR(IF(OR(Metrics!J19="",Metrics!I19=""),"",Metrics!J19-Metrics!I19),"")</f>
        <v/>
      </c>
      <c r="H19" s="89">
        <f>IFERROR(IF(OR(Metrics!K19="",Metrics!J19=""),"",Metrics!K19-Metrics!J19),"")</f>
        <v/>
      </c>
      <c r="I19" s="89">
        <f>IFERROR(IF(OR(Metrics!L19="",Metrics!K19=""),"",Metrics!L19-Metrics!K19),"")</f>
        <v/>
      </c>
      <c r="J19" s="89">
        <f>IFERROR(IF(OR(Metrics!M19="",Metrics!L19=""),"",Metrics!M19-Metrics!L19),"")</f>
        <v/>
      </c>
      <c r="K19" s="89">
        <f>IFERROR(IF(OR(Metrics!N19="",Metrics!M19=""),"",Metrics!N19-Metrics!M19),"")</f>
        <v/>
      </c>
      <c r="L19" s="89">
        <f>IFERROR(IF(OR(Metrics!O19="",Metrics!N19=""),"",Metrics!O19-Metrics!N19),"")</f>
        <v/>
      </c>
      <c r="M19" s="89">
        <f>IFERROR(IF(OR(Metrics!P19="",Metrics!O19=""),"",Metrics!P19-Metrics!O19),"")</f>
        <v/>
      </c>
      <c r="N19" s="90">
        <f>IFERROR(INDEX(Metrics!$E$19:$P$19,MATCH(9.99E+307,Metrics!$E$19:$P$19))-INDEX(Metrics!$E$19:$P$19,MATCH(TRUE(),INDEX(Metrics!$E$19:$P$19&lt;&gt;"",0),0)),"")</f>
        <v/>
      </c>
    </row>
    <row r="20" ht="15" customHeight="1" s="65">
      <c r="A20" s="87" t="inlineStr">
        <is>
          <t>Avg. position — tracked</t>
        </is>
      </c>
      <c r="B20" s="88" t="inlineStr">
        <is>
          <t>abs</t>
        </is>
      </c>
      <c r="C20" s="91">
        <f>IFERROR(IF(OR(Metrics!F20="",Metrics!E20=""),"",Metrics!F20-Metrics!E20),"")</f>
        <v/>
      </c>
      <c r="D20" s="91">
        <f>IFERROR(IF(OR(Metrics!G20="",Metrics!F20=""),"",Metrics!G20-Metrics!F20),"")</f>
        <v/>
      </c>
      <c r="E20" s="91">
        <f>IFERROR(IF(OR(Metrics!H20="",Metrics!G20=""),"",Metrics!H20-Metrics!G20),"")</f>
        <v/>
      </c>
      <c r="F20" s="91">
        <f>IFERROR(IF(OR(Metrics!I20="",Metrics!H20=""),"",Metrics!I20-Metrics!H20),"")</f>
        <v/>
      </c>
      <c r="G20" s="91">
        <f>IFERROR(IF(OR(Metrics!J20="",Metrics!I20=""),"",Metrics!J20-Metrics!I20),"")</f>
        <v/>
      </c>
      <c r="H20" s="91">
        <f>IFERROR(IF(OR(Metrics!K20="",Metrics!J20=""),"",Metrics!K20-Metrics!J20),"")</f>
        <v/>
      </c>
      <c r="I20" s="91">
        <f>IFERROR(IF(OR(Metrics!L20="",Metrics!K20=""),"",Metrics!L20-Metrics!K20),"")</f>
        <v/>
      </c>
      <c r="J20" s="91">
        <f>IFERROR(IF(OR(Metrics!M20="",Metrics!L20=""),"",Metrics!M20-Metrics!L20),"")</f>
        <v/>
      </c>
      <c r="K20" s="91">
        <f>IFERROR(IF(OR(Metrics!N20="",Metrics!M20=""),"",Metrics!N20-Metrics!M20),"")</f>
        <v/>
      </c>
      <c r="L20" s="91">
        <f>IFERROR(IF(OR(Metrics!O20="",Metrics!N20=""),"",Metrics!O20-Metrics!N20),"")</f>
        <v/>
      </c>
      <c r="M20" s="91">
        <f>IFERROR(IF(OR(Metrics!P20="",Metrics!O20=""),"",Metrics!P20-Metrics!O20),"")</f>
        <v/>
      </c>
      <c r="N20" s="92">
        <f>IFERROR(INDEX(Metrics!$E$20:$P$20,MATCH(9.99E+307,Metrics!$E$20:$P$20))-INDEX(Metrics!$E$20:$P$20,MATCH(TRUE(),INDEX(Metrics!$E$20:$P$20&lt;&gt;"",0),0)),"")</f>
        <v/>
      </c>
    </row>
    <row r="21" ht="15" customHeight="1" s="65">
      <c r="A21" s="87" t="inlineStr">
        <is>
          <t>Responses w/ brand mention</t>
        </is>
      </c>
      <c r="B21" s="88" t="inlineStr">
        <is>
          <t>pct</t>
        </is>
      </c>
      <c r="C21" s="89">
        <f>IFERROR(IF(OR(Metrics!F21="",Metrics!E21="",Metrics!E21=0),"",Metrics!F21/Metrics!E21-1),"")</f>
        <v/>
      </c>
      <c r="D21" s="89">
        <f>IFERROR(IF(OR(Metrics!G21="",Metrics!F21="",Metrics!F21=0),"",Metrics!G21/Metrics!F21-1),"")</f>
        <v/>
      </c>
      <c r="E21" s="89">
        <f>IFERROR(IF(OR(Metrics!H21="",Metrics!G21="",Metrics!G21=0),"",Metrics!H21/Metrics!G21-1),"")</f>
        <v/>
      </c>
      <c r="F21" s="89">
        <f>IFERROR(IF(OR(Metrics!I21="",Metrics!H21="",Metrics!H21=0),"",Metrics!I21/Metrics!H21-1),"")</f>
        <v/>
      </c>
      <c r="G21" s="89">
        <f>IFERROR(IF(OR(Metrics!J21="",Metrics!I21="",Metrics!I21=0),"",Metrics!J21/Metrics!I21-1),"")</f>
        <v/>
      </c>
      <c r="H21" s="89">
        <f>IFERROR(IF(OR(Metrics!K21="",Metrics!J21="",Metrics!J21=0),"",Metrics!K21/Metrics!J21-1),"")</f>
        <v/>
      </c>
      <c r="I21" s="89">
        <f>IFERROR(IF(OR(Metrics!L21="",Metrics!K21="",Metrics!K21=0),"",Metrics!L21/Metrics!K21-1),"")</f>
        <v/>
      </c>
      <c r="J21" s="89">
        <f>IFERROR(IF(OR(Metrics!M21="",Metrics!L21="",Metrics!L21=0),"",Metrics!M21/Metrics!L21-1),"")</f>
        <v/>
      </c>
      <c r="K21" s="89">
        <f>IFERROR(IF(OR(Metrics!N21="",Metrics!M21="",Metrics!M21=0),"",Metrics!N21/Metrics!M21-1),"")</f>
        <v/>
      </c>
      <c r="L21" s="89">
        <f>IFERROR(IF(OR(Metrics!O21="",Metrics!N21="",Metrics!N21=0),"",Metrics!O21/Metrics!N21-1),"")</f>
        <v/>
      </c>
      <c r="M21" s="89">
        <f>IFERROR(IF(OR(Metrics!P21="",Metrics!O21="",Metrics!O21=0),"",Metrics!P21/Metrics!O21-1),"")</f>
        <v/>
      </c>
      <c r="N21" s="90">
        <f>IFERROR(IF(INDEX(Metrics!$E$21:$P$21,MATCH(TRUE(),INDEX(Metrics!$E$21:$P$21&lt;&gt;"",0),0))=0,"",INDEX(Metrics!$E$21:$P$21,MATCH(9.99E+307,Metrics!$E$21:$P$21))/INDEX(Metrics!$E$21:$P$21,MATCH(TRUE(),INDEX(Metrics!$E$21:$P$21&lt;&gt;"",0),0))-1),"")</f>
        <v/>
      </c>
    </row>
    <row r="22" ht="15" customHeight="1" s="65">
      <c r="A22" s="87" t="inlineStr">
        <is>
          <t>Total mentions</t>
        </is>
      </c>
      <c r="B22" s="88" t="inlineStr">
        <is>
          <t>pct</t>
        </is>
      </c>
      <c r="C22" s="89">
        <f>IFERROR(IF(OR(Metrics!F22="",Metrics!E22="",Metrics!E22=0),"",Metrics!F22/Metrics!E22-1),"")</f>
        <v/>
      </c>
      <c r="D22" s="89">
        <f>IFERROR(IF(OR(Metrics!G22="",Metrics!F22="",Metrics!F22=0),"",Metrics!G22/Metrics!F22-1),"")</f>
        <v/>
      </c>
      <c r="E22" s="89">
        <f>IFERROR(IF(OR(Metrics!H22="",Metrics!G22="",Metrics!G22=0),"",Metrics!H22/Metrics!G22-1),"")</f>
        <v/>
      </c>
      <c r="F22" s="89">
        <f>IFERROR(IF(OR(Metrics!I22="",Metrics!H22="",Metrics!H22=0),"",Metrics!I22/Metrics!H22-1),"")</f>
        <v/>
      </c>
      <c r="G22" s="89">
        <f>IFERROR(IF(OR(Metrics!J22="",Metrics!I22="",Metrics!I22=0),"",Metrics!J22/Metrics!I22-1),"")</f>
        <v/>
      </c>
      <c r="H22" s="89">
        <f>IFERROR(IF(OR(Metrics!K22="",Metrics!J22="",Metrics!J22=0),"",Metrics!K22/Metrics!J22-1),"")</f>
        <v/>
      </c>
      <c r="I22" s="89">
        <f>IFERROR(IF(OR(Metrics!L22="",Metrics!K22="",Metrics!K22=0),"",Metrics!L22/Metrics!K22-1),"")</f>
        <v/>
      </c>
      <c r="J22" s="89">
        <f>IFERROR(IF(OR(Metrics!M22="",Metrics!L22="",Metrics!L22=0),"",Metrics!M22/Metrics!L22-1),"")</f>
        <v/>
      </c>
      <c r="K22" s="89">
        <f>IFERROR(IF(OR(Metrics!N22="",Metrics!M22="",Metrics!M22=0),"",Metrics!N22/Metrics!M22-1),"")</f>
        <v/>
      </c>
      <c r="L22" s="89">
        <f>IFERROR(IF(OR(Metrics!O22="",Metrics!N22="",Metrics!N22=0),"",Metrics!O22/Metrics!N22-1),"")</f>
        <v/>
      </c>
      <c r="M22" s="89">
        <f>IFERROR(IF(OR(Metrics!P22="",Metrics!O22="",Metrics!O22=0),"",Metrics!P22/Metrics!O22-1),"")</f>
        <v/>
      </c>
      <c r="N22" s="90">
        <f>IFERROR(IF(INDEX(Metrics!$E$22:$P$22,MATCH(TRUE(),INDEX(Metrics!$E$22:$P$22&lt;&gt;"",0),0))=0,"",INDEX(Metrics!$E$22:$P$22,MATCH(9.99E+307,Metrics!$E$22:$P$22))/INDEX(Metrics!$E$22:$P$22,MATCH(TRUE(),INDEX(Metrics!$E$22:$P$22&lt;&gt;"",0),0))-1),"")</f>
        <v/>
      </c>
    </row>
    <row r="23" ht="15" customHeight="1" s="65">
      <c r="A23" s="87" t="inlineStr">
        <is>
          <t>Total responses</t>
        </is>
      </c>
      <c r="B23" s="88" t="inlineStr">
        <is>
          <t>pct</t>
        </is>
      </c>
      <c r="C23" s="89">
        <f>IFERROR(IF(OR(Metrics!F23="",Metrics!E23="",Metrics!E23=0),"",Metrics!F23/Metrics!E23-1),"")</f>
        <v/>
      </c>
      <c r="D23" s="89">
        <f>IFERROR(IF(OR(Metrics!G23="",Metrics!F23="",Metrics!F23=0),"",Metrics!G23/Metrics!F23-1),"")</f>
        <v/>
      </c>
      <c r="E23" s="89">
        <f>IFERROR(IF(OR(Metrics!H23="",Metrics!G23="",Metrics!G23=0),"",Metrics!H23/Metrics!G23-1),"")</f>
        <v/>
      </c>
      <c r="F23" s="89">
        <f>IFERROR(IF(OR(Metrics!I23="",Metrics!H23="",Metrics!H23=0),"",Metrics!I23/Metrics!H23-1),"")</f>
        <v/>
      </c>
      <c r="G23" s="89">
        <f>IFERROR(IF(OR(Metrics!J23="",Metrics!I23="",Metrics!I23=0),"",Metrics!J23/Metrics!I23-1),"")</f>
        <v/>
      </c>
      <c r="H23" s="89">
        <f>IFERROR(IF(OR(Metrics!K23="",Metrics!J23="",Metrics!J23=0),"",Metrics!K23/Metrics!J23-1),"")</f>
        <v/>
      </c>
      <c r="I23" s="89">
        <f>IFERROR(IF(OR(Metrics!L23="",Metrics!K23="",Metrics!K23=0),"",Metrics!L23/Metrics!K23-1),"")</f>
        <v/>
      </c>
      <c r="J23" s="89">
        <f>IFERROR(IF(OR(Metrics!M23="",Metrics!L23="",Metrics!L23=0),"",Metrics!M23/Metrics!L23-1),"")</f>
        <v/>
      </c>
      <c r="K23" s="89">
        <f>IFERROR(IF(OR(Metrics!N23="",Metrics!M23="",Metrics!M23=0),"",Metrics!N23/Metrics!M23-1),"")</f>
        <v/>
      </c>
      <c r="L23" s="89">
        <f>IFERROR(IF(OR(Metrics!O23="",Metrics!N23="",Metrics!N23=0),"",Metrics!O23/Metrics!N23-1),"")</f>
        <v/>
      </c>
      <c r="M23" s="89">
        <f>IFERROR(IF(OR(Metrics!P23="",Metrics!O23="",Metrics!O23=0),"",Metrics!P23/Metrics!O23-1),"")</f>
        <v/>
      </c>
      <c r="N23" s="90">
        <f>IFERROR(IF(INDEX(Metrics!$E$23:$P$23,MATCH(TRUE(),INDEX(Metrics!$E$23:$P$23&lt;&gt;"",0),0))=0,"",INDEX(Metrics!$E$23:$P$23,MATCH(9.99E+307,Metrics!$E$23:$P$23))/INDEX(Metrics!$E$23:$P$23,MATCH(TRUE(),INDEX(Metrics!$E$23:$P$23&lt;&gt;"",0),0))-1),"")</f>
        <v/>
      </c>
    </row>
    <row r="24" ht="15" customHeight="1" s="65">
      <c r="A24" s="69" t="inlineStr">
        <is>
          <t>TRAFFIC (GA4 / AI Traffic dashboard)</t>
        </is>
      </c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</row>
    <row r="25" ht="15" customHeight="1" s="65">
      <c r="A25" s="87" t="inlineStr">
        <is>
          <t>LLM traffic — total visits</t>
        </is>
      </c>
      <c r="B25" s="88" t="inlineStr">
        <is>
          <t>pct</t>
        </is>
      </c>
      <c r="C25" s="89">
        <f>IFERROR(IF(OR(Metrics!F25="",Metrics!E25="",Metrics!E25=0),"",Metrics!F25/Metrics!E25-1),"")</f>
        <v/>
      </c>
      <c r="D25" s="89">
        <f>IFERROR(IF(OR(Metrics!G25="",Metrics!F25="",Metrics!F25=0),"",Metrics!G25/Metrics!F25-1),"")</f>
        <v/>
      </c>
      <c r="E25" s="89">
        <f>IFERROR(IF(OR(Metrics!H25="",Metrics!G25="",Metrics!G25=0),"",Metrics!H25/Metrics!G25-1),"")</f>
        <v/>
      </c>
      <c r="F25" s="89">
        <f>IFERROR(IF(OR(Metrics!I25="",Metrics!H25="",Metrics!H25=0),"",Metrics!I25/Metrics!H25-1),"")</f>
        <v/>
      </c>
      <c r="G25" s="89">
        <f>IFERROR(IF(OR(Metrics!J25="",Metrics!I25="",Metrics!I25=0),"",Metrics!J25/Metrics!I25-1),"")</f>
        <v/>
      </c>
      <c r="H25" s="89">
        <f>IFERROR(IF(OR(Metrics!K25="",Metrics!J25="",Metrics!J25=0),"",Metrics!K25/Metrics!J25-1),"")</f>
        <v/>
      </c>
      <c r="I25" s="89">
        <f>IFERROR(IF(OR(Metrics!L25="",Metrics!K25="",Metrics!K25=0),"",Metrics!L25/Metrics!K25-1),"")</f>
        <v/>
      </c>
      <c r="J25" s="89">
        <f>IFERROR(IF(OR(Metrics!M25="",Metrics!L25="",Metrics!L25=0),"",Metrics!M25/Metrics!L25-1),"")</f>
        <v/>
      </c>
      <c r="K25" s="89">
        <f>IFERROR(IF(OR(Metrics!N25="",Metrics!M25="",Metrics!M25=0),"",Metrics!N25/Metrics!M25-1),"")</f>
        <v/>
      </c>
      <c r="L25" s="89">
        <f>IFERROR(IF(OR(Metrics!O25="",Metrics!N25="",Metrics!N25=0),"",Metrics!O25/Metrics!N25-1),"")</f>
        <v/>
      </c>
      <c r="M25" s="89">
        <f>IFERROR(IF(OR(Metrics!P25="",Metrics!O25="",Metrics!O25=0),"",Metrics!P25/Metrics!O25-1),"")</f>
        <v/>
      </c>
      <c r="N25" s="90">
        <f>IFERROR(IF(INDEX(Metrics!$E$25:$P$25,MATCH(TRUE(),INDEX(Metrics!$E$25:$P$25&lt;&gt;"",0),0))=0,"",INDEX(Metrics!$E$25:$P$25,MATCH(9.99E+307,Metrics!$E$25:$P$25))/INDEX(Metrics!$E$25:$P$25,MATCH(TRUE(),INDEX(Metrics!$E$25:$P$25&lt;&gt;"",0),0))-1),"")</f>
        <v/>
      </c>
    </row>
    <row r="26" ht="15" customHeight="1" s="65">
      <c r="A26" s="87" t="inlineStr">
        <is>
          <t>ChatGPT visits</t>
        </is>
      </c>
      <c r="B26" s="88" t="inlineStr">
        <is>
          <t>pct</t>
        </is>
      </c>
      <c r="C26" s="89">
        <f>IFERROR(IF(OR(Metrics!F26="",Metrics!E26="",Metrics!E26=0),"",Metrics!F26/Metrics!E26-1),"")</f>
        <v/>
      </c>
      <c r="D26" s="89">
        <f>IFERROR(IF(OR(Metrics!G26="",Metrics!F26="",Metrics!F26=0),"",Metrics!G26/Metrics!F26-1),"")</f>
        <v/>
      </c>
      <c r="E26" s="89">
        <f>IFERROR(IF(OR(Metrics!H26="",Metrics!G26="",Metrics!G26=0),"",Metrics!H26/Metrics!G26-1),"")</f>
        <v/>
      </c>
      <c r="F26" s="89">
        <f>IFERROR(IF(OR(Metrics!I26="",Metrics!H26="",Metrics!H26=0),"",Metrics!I26/Metrics!H26-1),"")</f>
        <v/>
      </c>
      <c r="G26" s="89">
        <f>IFERROR(IF(OR(Metrics!J26="",Metrics!I26="",Metrics!I26=0),"",Metrics!J26/Metrics!I26-1),"")</f>
        <v/>
      </c>
      <c r="H26" s="89">
        <f>IFERROR(IF(OR(Metrics!K26="",Metrics!J26="",Metrics!J26=0),"",Metrics!K26/Metrics!J26-1),"")</f>
        <v/>
      </c>
      <c r="I26" s="89">
        <f>IFERROR(IF(OR(Metrics!L26="",Metrics!K26="",Metrics!K26=0),"",Metrics!L26/Metrics!K26-1),"")</f>
        <v/>
      </c>
      <c r="J26" s="89">
        <f>IFERROR(IF(OR(Metrics!M26="",Metrics!L26="",Metrics!L26=0),"",Metrics!M26/Metrics!L26-1),"")</f>
        <v/>
      </c>
      <c r="K26" s="89">
        <f>IFERROR(IF(OR(Metrics!N26="",Metrics!M26="",Metrics!M26=0),"",Metrics!N26/Metrics!M26-1),"")</f>
        <v/>
      </c>
      <c r="L26" s="89">
        <f>IFERROR(IF(OR(Metrics!O26="",Metrics!N26="",Metrics!N26=0),"",Metrics!O26/Metrics!N26-1),"")</f>
        <v/>
      </c>
      <c r="M26" s="89">
        <f>IFERROR(IF(OR(Metrics!P26="",Metrics!O26="",Metrics!O26=0),"",Metrics!P26/Metrics!O26-1),"")</f>
        <v/>
      </c>
      <c r="N26" s="90">
        <f>IFERROR(IF(INDEX(Metrics!$E$26:$P$26,MATCH(TRUE(),INDEX(Metrics!$E$26:$P$26&lt;&gt;"",0),0))=0,"",INDEX(Metrics!$E$26:$P$26,MATCH(9.99E+307,Metrics!$E$26:$P$26))/INDEX(Metrics!$E$26:$P$26,MATCH(TRUE(),INDEX(Metrics!$E$26:$P$26&lt;&gt;"",0),0))-1),"")</f>
        <v/>
      </c>
    </row>
    <row r="27" ht="15" customHeight="1" s="65">
      <c r="A27" s="87" t="inlineStr">
        <is>
          <t>All other LLM visits</t>
        </is>
      </c>
      <c r="B27" s="88" t="inlineStr">
        <is>
          <t>pct</t>
        </is>
      </c>
      <c r="C27" s="89">
        <f>IFERROR(IF(OR(Metrics!F27="",Metrics!E27="",Metrics!E27=0),"",Metrics!F27/Metrics!E27-1),"")</f>
        <v/>
      </c>
      <c r="D27" s="89">
        <f>IFERROR(IF(OR(Metrics!G27="",Metrics!F27="",Metrics!F27=0),"",Metrics!G27/Metrics!F27-1),"")</f>
        <v/>
      </c>
      <c r="E27" s="89">
        <f>IFERROR(IF(OR(Metrics!H27="",Metrics!G27="",Metrics!G27=0),"",Metrics!H27/Metrics!G27-1),"")</f>
        <v/>
      </c>
      <c r="F27" s="89">
        <f>IFERROR(IF(OR(Metrics!I27="",Metrics!H27="",Metrics!H27=0),"",Metrics!I27/Metrics!H27-1),"")</f>
        <v/>
      </c>
      <c r="G27" s="89">
        <f>IFERROR(IF(OR(Metrics!J27="",Metrics!I27="",Metrics!I27=0),"",Metrics!J27/Metrics!I27-1),"")</f>
        <v/>
      </c>
      <c r="H27" s="89">
        <f>IFERROR(IF(OR(Metrics!K27="",Metrics!J27="",Metrics!J27=0),"",Metrics!K27/Metrics!J27-1),"")</f>
        <v/>
      </c>
      <c r="I27" s="89">
        <f>IFERROR(IF(OR(Metrics!L27="",Metrics!K27="",Metrics!K27=0),"",Metrics!L27/Metrics!K27-1),"")</f>
        <v/>
      </c>
      <c r="J27" s="89">
        <f>IFERROR(IF(OR(Metrics!M27="",Metrics!L27="",Metrics!L27=0),"",Metrics!M27/Metrics!L27-1),"")</f>
        <v/>
      </c>
      <c r="K27" s="89">
        <f>IFERROR(IF(OR(Metrics!N27="",Metrics!M27="",Metrics!M27=0),"",Metrics!N27/Metrics!M27-1),"")</f>
        <v/>
      </c>
      <c r="L27" s="89">
        <f>IFERROR(IF(OR(Metrics!O27="",Metrics!N27="",Metrics!N27=0),"",Metrics!O27/Metrics!N27-1),"")</f>
        <v/>
      </c>
      <c r="M27" s="89">
        <f>IFERROR(IF(OR(Metrics!P27="",Metrics!O27="",Metrics!O27=0),"",Metrics!P27/Metrics!O27-1),"")</f>
        <v/>
      </c>
      <c r="N27" s="90">
        <f>IFERROR(IF(INDEX(Metrics!$E$27:$P$27,MATCH(TRUE(),INDEX(Metrics!$E$27:$P$27&lt;&gt;"",0),0))=0,"",INDEX(Metrics!$E$27:$P$27,MATCH(9.99E+307,Metrics!$E$27:$P$27))/INDEX(Metrics!$E$27:$P$27,MATCH(TRUE(),INDEX(Metrics!$E$27:$P$27&lt;&gt;"",0),0))-1),"")</f>
        <v/>
      </c>
    </row>
    <row r="28" ht="15" customHeight="1" s="65">
      <c r="A28" s="87" t="inlineStr">
        <is>
          <t>Conversions</t>
        </is>
      </c>
      <c r="B28" s="88" t="inlineStr">
        <is>
          <t>pct</t>
        </is>
      </c>
      <c r="C28" s="89">
        <f>IFERROR(IF(OR(Metrics!F28="",Metrics!E28="",Metrics!E28=0),"",Metrics!F28/Metrics!E28-1),"")</f>
        <v/>
      </c>
      <c r="D28" s="89">
        <f>IFERROR(IF(OR(Metrics!G28="",Metrics!F28="",Metrics!F28=0),"",Metrics!G28/Metrics!F28-1),"")</f>
        <v/>
      </c>
      <c r="E28" s="89">
        <f>IFERROR(IF(OR(Metrics!H28="",Metrics!G28="",Metrics!G28=0),"",Metrics!H28/Metrics!G28-1),"")</f>
        <v/>
      </c>
      <c r="F28" s="89">
        <f>IFERROR(IF(OR(Metrics!I28="",Metrics!H28="",Metrics!H28=0),"",Metrics!I28/Metrics!H28-1),"")</f>
        <v/>
      </c>
      <c r="G28" s="89">
        <f>IFERROR(IF(OR(Metrics!J28="",Metrics!I28="",Metrics!I28=0),"",Metrics!J28/Metrics!I28-1),"")</f>
        <v/>
      </c>
      <c r="H28" s="89">
        <f>IFERROR(IF(OR(Metrics!K28="",Metrics!J28="",Metrics!J28=0),"",Metrics!K28/Metrics!J28-1),"")</f>
        <v/>
      </c>
      <c r="I28" s="89">
        <f>IFERROR(IF(OR(Metrics!L28="",Metrics!K28="",Metrics!K28=0),"",Metrics!L28/Metrics!K28-1),"")</f>
        <v/>
      </c>
      <c r="J28" s="89">
        <f>IFERROR(IF(OR(Metrics!M28="",Metrics!L28="",Metrics!L28=0),"",Metrics!M28/Metrics!L28-1),"")</f>
        <v/>
      </c>
      <c r="K28" s="89">
        <f>IFERROR(IF(OR(Metrics!N28="",Metrics!M28="",Metrics!M28=0),"",Metrics!N28/Metrics!M28-1),"")</f>
        <v/>
      </c>
      <c r="L28" s="89">
        <f>IFERROR(IF(OR(Metrics!O28="",Metrics!N28="",Metrics!N28=0),"",Metrics!O28/Metrics!N28-1),"")</f>
        <v/>
      </c>
      <c r="M28" s="89">
        <f>IFERROR(IF(OR(Metrics!P28="",Metrics!O28="",Metrics!O28=0),"",Metrics!P28/Metrics!O28-1),"")</f>
        <v/>
      </c>
      <c r="N28" s="90">
        <f>IFERROR(IF(INDEX(Metrics!$E$28:$P$28,MATCH(TRUE(),INDEX(Metrics!$E$28:$P$28&lt;&gt;"",0),0))=0,"",INDEX(Metrics!$E$28:$P$28,MATCH(9.99E+307,Metrics!$E$28:$P$28))/INDEX(Metrics!$E$28:$P$28,MATCH(TRUE(),INDEX(Metrics!$E$28:$P$28&lt;&gt;"",0),0))-1),"")</f>
        <v/>
      </c>
    </row>
    <row r="29" ht="15" customHeight="1" s="65">
      <c r="A29" s="87" t="inlineStr">
        <is>
          <t>Conversion rate</t>
        </is>
      </c>
      <c r="B29" s="88" t="inlineStr">
        <is>
          <t>pp</t>
        </is>
      </c>
      <c r="C29" s="89">
        <f>IFERROR(IF(OR(Metrics!F29="",Metrics!E29=""),"",Metrics!F29-Metrics!E29),"")</f>
        <v/>
      </c>
      <c r="D29" s="89">
        <f>IFERROR(IF(OR(Metrics!G29="",Metrics!F29=""),"",Metrics!G29-Metrics!F29),"")</f>
        <v/>
      </c>
      <c r="E29" s="89">
        <f>IFERROR(IF(OR(Metrics!H29="",Metrics!G29=""),"",Metrics!H29-Metrics!G29),"")</f>
        <v/>
      </c>
      <c r="F29" s="89">
        <f>IFERROR(IF(OR(Metrics!I29="",Metrics!H29=""),"",Metrics!I29-Metrics!H29),"")</f>
        <v/>
      </c>
      <c r="G29" s="89">
        <f>IFERROR(IF(OR(Metrics!J29="",Metrics!I29=""),"",Metrics!J29-Metrics!I29),"")</f>
        <v/>
      </c>
      <c r="H29" s="89">
        <f>IFERROR(IF(OR(Metrics!K29="",Metrics!J29=""),"",Metrics!K29-Metrics!J29),"")</f>
        <v/>
      </c>
      <c r="I29" s="89">
        <f>IFERROR(IF(OR(Metrics!L29="",Metrics!K29=""),"",Metrics!L29-Metrics!K29),"")</f>
        <v/>
      </c>
      <c r="J29" s="89">
        <f>IFERROR(IF(OR(Metrics!M29="",Metrics!L29=""),"",Metrics!M29-Metrics!L29),"")</f>
        <v/>
      </c>
      <c r="K29" s="89">
        <f>IFERROR(IF(OR(Metrics!N29="",Metrics!M29=""),"",Metrics!N29-Metrics!M29),"")</f>
        <v/>
      </c>
      <c r="L29" s="89">
        <f>IFERROR(IF(OR(Metrics!O29="",Metrics!N29=""),"",Metrics!O29-Metrics!N29),"")</f>
        <v/>
      </c>
      <c r="M29" s="89">
        <f>IFERROR(IF(OR(Metrics!P29="",Metrics!O29=""),"",Metrics!P29-Metrics!O29),"")</f>
        <v/>
      </c>
      <c r="N29" s="90">
        <f>IFERROR(INDEX(Metrics!$E$29:$P$29,MATCH(9.99E+307,Metrics!$E$29:$P$29))-INDEX(Metrics!$E$29:$P$29,MATCH(TRUE(),INDEX(Metrics!$E$29:$P$29&lt;&gt;"",0),0)),"")</f>
        <v/>
      </c>
    </row>
    <row r="30" ht="15" customHeight="1" s="65">
      <c r="A30" s="87" t="inlineStr">
        <is>
          <t>Bounce rate</t>
        </is>
      </c>
      <c r="B30" s="88" t="inlineStr">
        <is>
          <t>pp</t>
        </is>
      </c>
      <c r="C30" s="89">
        <f>IFERROR(IF(OR(Metrics!F30="",Metrics!E30=""),"",Metrics!F30-Metrics!E30),"")</f>
        <v/>
      </c>
      <c r="D30" s="89">
        <f>IFERROR(IF(OR(Metrics!G30="",Metrics!F30=""),"",Metrics!G30-Metrics!F30),"")</f>
        <v/>
      </c>
      <c r="E30" s="89">
        <f>IFERROR(IF(OR(Metrics!H30="",Metrics!G30=""),"",Metrics!H30-Metrics!G30),"")</f>
        <v/>
      </c>
      <c r="F30" s="89">
        <f>IFERROR(IF(OR(Metrics!I30="",Metrics!H30=""),"",Metrics!I30-Metrics!H30),"")</f>
        <v/>
      </c>
      <c r="G30" s="89">
        <f>IFERROR(IF(OR(Metrics!J30="",Metrics!I30=""),"",Metrics!J30-Metrics!I30),"")</f>
        <v/>
      </c>
      <c r="H30" s="89">
        <f>IFERROR(IF(OR(Metrics!K30="",Metrics!J30=""),"",Metrics!K30-Metrics!J30),"")</f>
        <v/>
      </c>
      <c r="I30" s="89">
        <f>IFERROR(IF(OR(Metrics!L30="",Metrics!K30=""),"",Metrics!L30-Metrics!K30),"")</f>
        <v/>
      </c>
      <c r="J30" s="89">
        <f>IFERROR(IF(OR(Metrics!M30="",Metrics!L30=""),"",Metrics!M30-Metrics!L30),"")</f>
        <v/>
      </c>
      <c r="K30" s="89">
        <f>IFERROR(IF(OR(Metrics!N30="",Metrics!M30=""),"",Metrics!N30-Metrics!M30),"")</f>
        <v/>
      </c>
      <c r="L30" s="89">
        <f>IFERROR(IF(OR(Metrics!O30="",Metrics!N30=""),"",Metrics!O30-Metrics!N30),"")</f>
        <v/>
      </c>
      <c r="M30" s="89">
        <f>IFERROR(IF(OR(Metrics!P30="",Metrics!O30=""),"",Metrics!P30-Metrics!O30),"")</f>
        <v/>
      </c>
      <c r="N30" s="90">
        <f>IFERROR(INDEX(Metrics!$E$30:$P$30,MATCH(9.99E+307,Metrics!$E$30:$P$30))-INDEX(Metrics!$E$30:$P$30,MATCH(TRUE(),INDEX(Metrics!$E$30:$P$30&lt;&gt;"",0),0)),"")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4" customWidth="1" style="64" min="1" max="1"/>
    <col width="24" customWidth="1" style="64" min="2" max="2"/>
    <col width="18" customWidth="1" style="64" min="3" max="3"/>
    <col width="7" customWidth="1" style="64" min="4" max="17"/>
    <col width="16" customWidth="1" style="64" min="18" max="20"/>
  </cols>
  <sheetData>
    <row r="1" ht="17.35" customHeight="1" s="65">
      <c r="A1" s="66" t="inlineStr">
        <is>
          <t>Tracked prompts — 25 prompts × 3 models = 75 rows</t>
        </is>
      </c>
    </row>
    <row r="2" ht="15" customHeight="1" s="65">
      <c r="A2" s="85" t="inlineStr">
        <is>
          <t>Two metrics per month. Avg. Position = how high you rank WHEN you appear. Days with Mention = HOW OFTEN. Position alone lies: a prompt that stops appearing on its bad days posts a fake position gain.</t>
        </is>
      </c>
    </row>
    <row r="3" ht="15" customHeight="1" s="65">
      <c r="A3" s="93" t="inlineStr">
        <is>
          <t>Current month →</t>
        </is>
      </c>
      <c r="B3" s="94" t="inlineStr">
        <is>
          <t>Jul-26</t>
        </is>
      </c>
      <c r="C3" s="67" t="inlineStr">
        <is>
          <t>Days-with-mention summed across all 75 rows = the 'Responses with mentions' card in the UI.</t>
        </is>
      </c>
    </row>
    <row r="4" ht="15" customHeight="1" s="65">
      <c r="D4" s="95" t="inlineStr">
        <is>
          <t>Jun-26</t>
        </is>
      </c>
      <c r="E4" s="96" t="n"/>
      <c r="F4" s="95" t="inlineStr">
        <is>
          <t>Jul-26</t>
        </is>
      </c>
      <c r="G4" s="96" t="n"/>
      <c r="H4" s="95" t="inlineStr">
        <is>
          <t>Aug-26</t>
        </is>
      </c>
      <c r="I4" s="96" t="n"/>
      <c r="J4" s="95" t="inlineStr">
        <is>
          <t>Sep-26</t>
        </is>
      </c>
      <c r="K4" s="96" t="n"/>
      <c r="L4" s="95" t="inlineStr">
        <is>
          <t>Oct-26</t>
        </is>
      </c>
      <c r="M4" s="96" t="n"/>
      <c r="N4" s="95" t="inlineStr">
        <is>
          <t>Nov-26</t>
        </is>
      </c>
      <c r="O4" s="96" t="n"/>
      <c r="P4" s="95" t="inlineStr">
        <is>
          <t>Dec-26</t>
        </is>
      </c>
      <c r="Q4" s="96" t="n"/>
    </row>
    <row r="5" ht="15" customHeight="1" s="65">
      <c r="A5" s="97" t="inlineStr">
        <is>
          <t>Prompt</t>
        </is>
      </c>
      <c r="B5" s="97" t="inlineStr">
        <is>
          <t>Theme</t>
        </is>
      </c>
      <c r="C5" s="97" t="inlineStr">
        <is>
          <t>Model</t>
        </is>
      </c>
      <c r="D5" s="98" t="inlineStr">
        <is>
          <t>Pos</t>
        </is>
      </c>
      <c r="E5" s="98" t="inlineStr">
        <is>
          <t>Days</t>
        </is>
      </c>
      <c r="F5" s="98" t="inlineStr">
        <is>
          <t>Pos</t>
        </is>
      </c>
      <c r="G5" s="98" t="inlineStr">
        <is>
          <t>Days</t>
        </is>
      </c>
      <c r="H5" s="98" t="inlineStr">
        <is>
          <t>Pos</t>
        </is>
      </c>
      <c r="I5" s="98" t="inlineStr">
        <is>
          <t>Days</t>
        </is>
      </c>
      <c r="J5" s="98" t="inlineStr">
        <is>
          <t>Pos</t>
        </is>
      </c>
      <c r="K5" s="98" t="inlineStr">
        <is>
          <t>Days</t>
        </is>
      </c>
      <c r="L5" s="98" t="inlineStr">
        <is>
          <t>Pos</t>
        </is>
      </c>
      <c r="M5" s="98" t="inlineStr">
        <is>
          <t>Days</t>
        </is>
      </c>
      <c r="N5" s="98" t="inlineStr">
        <is>
          <t>Pos</t>
        </is>
      </c>
      <c r="O5" s="98" t="inlineStr">
        <is>
          <t>Days</t>
        </is>
      </c>
      <c r="P5" s="98" t="inlineStr">
        <is>
          <t>Pos</t>
        </is>
      </c>
      <c r="Q5" s="98" t="inlineStr">
        <is>
          <t>Days</t>
        </is>
      </c>
      <c r="R5" s="97" t="inlineStr">
        <is>
          <t>Δ Pos</t>
        </is>
      </c>
      <c r="S5" s="97" t="inlineStr">
        <is>
          <t>Δ Days</t>
        </is>
      </c>
      <c r="T5" s="97" t="inlineStr">
        <is>
          <t>Verdict</t>
        </is>
      </c>
    </row>
    <row r="6" ht="15" customHeight="1" s="65">
      <c r="A6" s="72" t="inlineStr">
        <is>
          <t>What are affordable college options in Cedar Valley?</t>
        </is>
      </c>
      <c r="B6" s="72" t="inlineStr">
        <is>
          <t>Location — affordability</t>
        </is>
      </c>
      <c r="C6" s="72" t="inlineStr">
        <is>
          <t>ChatGPT</t>
        </is>
      </c>
      <c r="D6" s="99" t="n">
        <v>1</v>
      </c>
      <c r="E6" s="100" t="n">
        <v>31</v>
      </c>
      <c r="F6" s="99" t="n">
        <v>1.03</v>
      </c>
      <c r="G6" s="100" t="n">
        <v>31</v>
      </c>
      <c r="H6" s="101" t="n"/>
      <c r="I6" s="102" t="n"/>
      <c r="J6" s="101" t="n"/>
      <c r="K6" s="102" t="n"/>
      <c r="L6" s="101" t="n"/>
      <c r="M6" s="102" t="n"/>
      <c r="N6" s="101" t="n"/>
      <c r="O6" s="102" t="n"/>
      <c r="P6" s="101" t="n"/>
      <c r="Q6" s="102" t="n"/>
      <c r="R6" s="103">
        <f>IFERROR(IF(AND(ISNUMBER(INDEX($D6:$Q6,MATCH($B$3,$D$4:$Q$4,0))),ISNUMBER(INDEX($D6:$Q6,MATCH($B$3,$D$4:$Q$4,0)-2))),INDEX($D6:$Q6,MATCH($B$3,$D$4:$Q$4,0))-INDEX($D6:$Q6,MATCH($B$3,$D$4:$Q$4,0)-2),""),"")</f>
        <v/>
      </c>
      <c r="S6" s="104">
        <f>IFERROR(IF(AND(ISNUMBER(INDEX($D6:$Q6,MATCH($B$3,$D$4:$Q$4,0)+1)),ISNUMBER(INDEX($D6:$Q6,MATCH($B$3,$D$4:$Q$4,0)-1))),INDEX($D6:$Q6,MATCH($B$3,$D$4:$Q$4,0)+1)-INDEX($D6:$Q6,MATCH($B$3,$D$4:$Q$4,0)-1),""),"")</f>
        <v/>
      </c>
      <c r="T6" s="105">
        <f>IFERROR(IF(S6="","",IF(AND(INDEX($D6:$Q6,MATCH($B$3,$D$4:$Q$4,0)+1)=0,INDEX($D6:$Q6,MATCH($B$3,$D$4:$Q$4,0)-1)&gt;0),"WENT TO ZERO",IF(AND(INDEX($D6:$Q6,MATCH($B$3,$D$4:$Q$4,0)-1)=0,INDEX($D6:$Q6,MATCH($B$3,$D$4:$Q$4,0)+1)&gt;0),"NEW ENTRY",IF(INDEX($D6:$Q6,MATCH($B$3,$D$4:$Q$4,0)-1)=0,"absent",IF(S6/INDEX($D6:$Q6,MATCH($B$3,$D$4:$Q$4,0)-1)&lt;-0.2,"FREQUENCY LOSS",IF(AND(R6&lt;-0.1,S6&gt;=0),"WIN",IF(R6&gt;0.1,"LOSS",IF(S6/INDEX($D6:$Q6,MATCH($B$3,$D$4:$Q$4,0)-1)&gt;0.2,"FREQUENCY GAIN","hold")))))))),"")</f>
        <v/>
      </c>
    </row>
    <row r="7" ht="15" customHeight="1" s="65">
      <c r="A7" s="72" t="inlineStr">
        <is>
          <t>What are affordable college options in Cedar Valley?</t>
        </is>
      </c>
      <c r="B7" s="72" t="inlineStr">
        <is>
          <t>Location — affordability</t>
        </is>
      </c>
      <c r="C7" s="72" t="inlineStr">
        <is>
          <t>Gemini</t>
        </is>
      </c>
      <c r="D7" s="99" t="n">
        <v>1.05</v>
      </c>
      <c r="E7" s="100" t="n">
        <v>31</v>
      </c>
      <c r="F7" s="99" t="n">
        <v>1.01</v>
      </c>
      <c r="G7" s="100" t="n">
        <v>31</v>
      </c>
      <c r="H7" s="101" t="n"/>
      <c r="I7" s="102" t="n"/>
      <c r="J7" s="101" t="n"/>
      <c r="K7" s="102" t="n"/>
      <c r="L7" s="101" t="n"/>
      <c r="M7" s="102" t="n"/>
      <c r="N7" s="101" t="n"/>
      <c r="O7" s="102" t="n"/>
      <c r="P7" s="101" t="n"/>
      <c r="Q7" s="102" t="n"/>
      <c r="R7" s="103">
        <f>IFERROR(IF(AND(ISNUMBER(INDEX($D7:$Q7,MATCH($B$3,$D$4:$Q$4,0))),ISNUMBER(INDEX($D7:$Q7,MATCH($B$3,$D$4:$Q$4,0)-2))),INDEX($D7:$Q7,MATCH($B$3,$D$4:$Q$4,0))-INDEX($D7:$Q7,MATCH($B$3,$D$4:$Q$4,0)-2),""),"")</f>
        <v/>
      </c>
      <c r="S7" s="104">
        <f>IFERROR(IF(AND(ISNUMBER(INDEX($D7:$Q7,MATCH($B$3,$D$4:$Q$4,0)+1)),ISNUMBER(INDEX($D7:$Q7,MATCH($B$3,$D$4:$Q$4,0)-1))),INDEX($D7:$Q7,MATCH($B$3,$D$4:$Q$4,0)+1)-INDEX($D7:$Q7,MATCH($B$3,$D$4:$Q$4,0)-1),""),"")</f>
        <v/>
      </c>
      <c r="T7" s="105">
        <f>IFERROR(IF(S7="","",IF(AND(INDEX($D7:$Q7,MATCH($B$3,$D$4:$Q$4,0)+1)=0,INDEX($D7:$Q7,MATCH($B$3,$D$4:$Q$4,0)-1)&gt;0),"WENT TO ZERO",IF(AND(INDEX($D7:$Q7,MATCH($B$3,$D$4:$Q$4,0)-1)=0,INDEX($D7:$Q7,MATCH($B$3,$D$4:$Q$4,0)+1)&gt;0),"NEW ENTRY",IF(INDEX($D7:$Q7,MATCH($B$3,$D$4:$Q$4,0)-1)=0,"absent",IF(S7/INDEX($D7:$Q7,MATCH($B$3,$D$4:$Q$4,0)-1)&lt;-0.2,"FREQUENCY LOSS",IF(AND(R7&lt;-0.1,S7&gt;=0),"WIN",IF(R7&gt;0.1,"LOSS",IF(S7/INDEX($D7:$Q7,MATCH($B$3,$D$4:$Q$4,0)-1)&gt;0.2,"FREQUENCY GAIN","hold")))))))),"")</f>
        <v/>
      </c>
    </row>
    <row r="8" ht="15" customHeight="1" s="65">
      <c r="A8" s="72" t="inlineStr">
        <is>
          <t>What are affordable college options in Cedar Valley?</t>
        </is>
      </c>
      <c r="B8" s="72" t="inlineStr">
        <is>
          <t>Location — affordability</t>
        </is>
      </c>
      <c r="C8" s="72" t="inlineStr">
        <is>
          <t>Google AI Overview</t>
        </is>
      </c>
      <c r="D8" s="99" t="n">
        <v>1.02</v>
      </c>
      <c r="E8" s="100" t="n">
        <v>30</v>
      </c>
      <c r="F8" s="99" t="n">
        <v>1.11</v>
      </c>
      <c r="G8" s="100" t="n">
        <v>25</v>
      </c>
      <c r="H8" s="101" t="n"/>
      <c r="I8" s="102" t="n"/>
      <c r="J8" s="101" t="n"/>
      <c r="K8" s="102" t="n"/>
      <c r="L8" s="101" t="n"/>
      <c r="M8" s="102" t="n"/>
      <c r="N8" s="101" t="n"/>
      <c r="O8" s="102" t="n"/>
      <c r="P8" s="101" t="n"/>
      <c r="Q8" s="102" t="n"/>
      <c r="R8" s="103">
        <f>IFERROR(IF(AND(ISNUMBER(INDEX($D8:$Q8,MATCH($B$3,$D$4:$Q$4,0))),ISNUMBER(INDEX($D8:$Q8,MATCH($B$3,$D$4:$Q$4,0)-2))),INDEX($D8:$Q8,MATCH($B$3,$D$4:$Q$4,0))-INDEX($D8:$Q8,MATCH($B$3,$D$4:$Q$4,0)-2),""),"")</f>
        <v/>
      </c>
      <c r="S8" s="104">
        <f>IFERROR(IF(AND(ISNUMBER(INDEX($D8:$Q8,MATCH($B$3,$D$4:$Q$4,0)+1)),ISNUMBER(INDEX($D8:$Q8,MATCH($B$3,$D$4:$Q$4,0)-1))),INDEX($D8:$Q8,MATCH($B$3,$D$4:$Q$4,0)+1)-INDEX($D8:$Q8,MATCH($B$3,$D$4:$Q$4,0)-1),""),"")</f>
        <v/>
      </c>
      <c r="T8" s="105">
        <f>IFERROR(IF(S8="","",IF(AND(INDEX($D8:$Q8,MATCH($B$3,$D$4:$Q$4,0)+1)=0,INDEX($D8:$Q8,MATCH($B$3,$D$4:$Q$4,0)-1)&gt;0),"WENT TO ZERO",IF(AND(INDEX($D8:$Q8,MATCH($B$3,$D$4:$Q$4,0)-1)=0,INDEX($D8:$Q8,MATCH($B$3,$D$4:$Q$4,0)+1)&gt;0),"NEW ENTRY",IF(INDEX($D8:$Q8,MATCH($B$3,$D$4:$Q$4,0)-1)=0,"absent",IF(S8/INDEX($D8:$Q8,MATCH($B$3,$D$4:$Q$4,0)-1)&lt;-0.2,"FREQUENCY LOSS",IF(AND(R8&lt;-0.1,S8&gt;=0),"WIN",IF(R8&gt;0.1,"LOSS",IF(S8/INDEX($D8:$Q8,MATCH($B$3,$D$4:$Q$4,0)-1)&gt;0.2,"FREQUENCY GAIN","hold")))))))),"")</f>
        <v/>
      </c>
    </row>
    <row r="9" ht="23.85" customHeight="1" s="65">
      <c r="A9" s="72" t="inlineStr">
        <is>
          <t>What community colleges in Ohio have flexible or online classes?</t>
        </is>
      </c>
      <c r="B9" s="72" t="inlineStr">
        <is>
          <t>ONLINE — flexible</t>
        </is>
      </c>
      <c r="C9" s="72" t="inlineStr">
        <is>
          <t>ChatGPT</t>
        </is>
      </c>
      <c r="D9" s="99" t="n">
        <v>2.86</v>
      </c>
      <c r="E9" s="100" t="n">
        <v>24</v>
      </c>
      <c r="F9" s="99" t="n">
        <v>1.57</v>
      </c>
      <c r="G9" s="100" t="n">
        <v>30</v>
      </c>
      <c r="H9" s="101" t="n"/>
      <c r="I9" s="102" t="n"/>
      <c r="J9" s="101" t="n"/>
      <c r="K9" s="102" t="n"/>
      <c r="L9" s="101" t="n"/>
      <c r="M9" s="102" t="n"/>
      <c r="N9" s="101" t="n"/>
      <c r="O9" s="102" t="n"/>
      <c r="P9" s="101" t="n"/>
      <c r="Q9" s="102" t="n"/>
      <c r="R9" s="103">
        <f>IFERROR(IF(AND(ISNUMBER(INDEX($D9:$Q9,MATCH($B$3,$D$4:$Q$4,0))),ISNUMBER(INDEX($D9:$Q9,MATCH($B$3,$D$4:$Q$4,0)-2))),INDEX($D9:$Q9,MATCH($B$3,$D$4:$Q$4,0))-INDEX($D9:$Q9,MATCH($B$3,$D$4:$Q$4,0)-2),""),"")</f>
        <v/>
      </c>
      <c r="S9" s="104">
        <f>IFERROR(IF(AND(ISNUMBER(INDEX($D9:$Q9,MATCH($B$3,$D$4:$Q$4,0)+1)),ISNUMBER(INDEX($D9:$Q9,MATCH($B$3,$D$4:$Q$4,0)-1))),INDEX($D9:$Q9,MATCH($B$3,$D$4:$Q$4,0)+1)-INDEX($D9:$Q9,MATCH($B$3,$D$4:$Q$4,0)-1),""),"")</f>
        <v/>
      </c>
      <c r="T9" s="105">
        <f>IFERROR(IF(S9="","",IF(AND(INDEX($D9:$Q9,MATCH($B$3,$D$4:$Q$4,0)+1)=0,INDEX($D9:$Q9,MATCH($B$3,$D$4:$Q$4,0)-1)&gt;0),"WENT TO ZERO",IF(AND(INDEX($D9:$Q9,MATCH($B$3,$D$4:$Q$4,0)-1)=0,INDEX($D9:$Q9,MATCH($B$3,$D$4:$Q$4,0)+1)&gt;0),"NEW ENTRY",IF(INDEX($D9:$Q9,MATCH($B$3,$D$4:$Q$4,0)-1)=0,"absent",IF(S9/INDEX($D9:$Q9,MATCH($B$3,$D$4:$Q$4,0)-1)&lt;-0.2,"FREQUENCY LOSS",IF(AND(R9&lt;-0.1,S9&gt;=0),"WIN",IF(R9&gt;0.1,"LOSS",IF(S9/INDEX($D9:$Q9,MATCH($B$3,$D$4:$Q$4,0)-1)&gt;0.2,"FREQUENCY GAIN","hold")))))))),"")</f>
        <v/>
      </c>
    </row>
    <row r="10" ht="23.85" customHeight="1" s="65">
      <c r="A10" s="72" t="inlineStr">
        <is>
          <t>What community colleges in Ohio have flexible or online classes?</t>
        </is>
      </c>
      <c r="B10" s="72" t="inlineStr">
        <is>
          <t>ONLINE — flexible</t>
        </is>
      </c>
      <c r="C10" s="72" t="inlineStr">
        <is>
          <t>Gemini</t>
        </is>
      </c>
      <c r="D10" s="99" t="n">
        <v>1.13</v>
      </c>
      <c r="E10" s="100" t="n">
        <v>31</v>
      </c>
      <c r="F10" s="99" t="n">
        <v>1.18</v>
      </c>
      <c r="G10" s="100" t="n">
        <v>31</v>
      </c>
      <c r="H10" s="101" t="n"/>
      <c r="I10" s="102" t="n"/>
      <c r="J10" s="101" t="n"/>
      <c r="K10" s="102" t="n"/>
      <c r="L10" s="101" t="n"/>
      <c r="M10" s="102" t="n"/>
      <c r="N10" s="101" t="n"/>
      <c r="O10" s="102" t="n"/>
      <c r="P10" s="101" t="n"/>
      <c r="Q10" s="102" t="n"/>
      <c r="R10" s="103">
        <f>IFERROR(IF(AND(ISNUMBER(INDEX($D10:$Q10,MATCH($B$3,$D$4:$Q$4,0))),ISNUMBER(INDEX($D10:$Q10,MATCH($B$3,$D$4:$Q$4,0)-2))),INDEX($D10:$Q10,MATCH($B$3,$D$4:$Q$4,0))-INDEX($D10:$Q10,MATCH($B$3,$D$4:$Q$4,0)-2),""),"")</f>
        <v/>
      </c>
      <c r="S10" s="104">
        <f>IFERROR(IF(AND(ISNUMBER(INDEX($D10:$Q10,MATCH($B$3,$D$4:$Q$4,0)+1)),ISNUMBER(INDEX($D10:$Q10,MATCH($B$3,$D$4:$Q$4,0)-1))),INDEX($D10:$Q10,MATCH($B$3,$D$4:$Q$4,0)+1)-INDEX($D10:$Q10,MATCH($B$3,$D$4:$Q$4,0)-1),""),"")</f>
        <v/>
      </c>
      <c r="T10" s="105">
        <f>IFERROR(IF(S10="","",IF(AND(INDEX($D10:$Q10,MATCH($B$3,$D$4:$Q$4,0)+1)=0,INDEX($D10:$Q10,MATCH($B$3,$D$4:$Q$4,0)-1)&gt;0),"WENT TO ZERO",IF(AND(INDEX($D10:$Q10,MATCH($B$3,$D$4:$Q$4,0)-1)=0,INDEX($D10:$Q10,MATCH($B$3,$D$4:$Q$4,0)+1)&gt;0),"NEW ENTRY",IF(INDEX($D10:$Q10,MATCH($B$3,$D$4:$Q$4,0)-1)=0,"absent",IF(S10/INDEX($D10:$Q10,MATCH($B$3,$D$4:$Q$4,0)-1)&lt;-0.2,"FREQUENCY LOSS",IF(AND(R10&lt;-0.1,S10&gt;=0),"WIN",IF(R10&gt;0.1,"LOSS",IF(S10/INDEX($D10:$Q10,MATCH($B$3,$D$4:$Q$4,0)-1)&gt;0.2,"FREQUENCY GAIN","hold")))))))),"")</f>
        <v/>
      </c>
    </row>
    <row r="11" ht="23.85" customHeight="1" s="65">
      <c r="A11" s="72" t="inlineStr">
        <is>
          <t>What community colleges in Ohio have flexible or online classes?</t>
        </is>
      </c>
      <c r="B11" s="72" t="inlineStr">
        <is>
          <t>ONLINE — flexible</t>
        </is>
      </c>
      <c r="C11" s="72" t="inlineStr">
        <is>
          <t>Google AI Overview</t>
        </is>
      </c>
      <c r="D11" s="99" t="n">
        <v>2.45</v>
      </c>
      <c r="E11" s="100" t="n">
        <v>22</v>
      </c>
      <c r="F11" s="99" t="n">
        <v>1.67</v>
      </c>
      <c r="G11" s="100" t="n">
        <v>25</v>
      </c>
      <c r="H11" s="101" t="n"/>
      <c r="I11" s="102" t="n"/>
      <c r="J11" s="101" t="n"/>
      <c r="K11" s="102" t="n"/>
      <c r="L11" s="101" t="n"/>
      <c r="M11" s="102" t="n"/>
      <c r="N11" s="101" t="n"/>
      <c r="O11" s="102" t="n"/>
      <c r="P11" s="101" t="n"/>
      <c r="Q11" s="102" t="n"/>
      <c r="R11" s="103">
        <f>IFERROR(IF(AND(ISNUMBER(INDEX($D11:$Q11,MATCH($B$3,$D$4:$Q$4,0))),ISNUMBER(INDEX($D11:$Q11,MATCH($B$3,$D$4:$Q$4,0)-2))),INDEX($D11:$Q11,MATCH($B$3,$D$4:$Q$4,0))-INDEX($D11:$Q11,MATCH($B$3,$D$4:$Q$4,0)-2),""),"")</f>
        <v/>
      </c>
      <c r="S11" s="104">
        <f>IFERROR(IF(AND(ISNUMBER(INDEX($D11:$Q11,MATCH($B$3,$D$4:$Q$4,0)+1)),ISNUMBER(INDEX($D11:$Q11,MATCH($B$3,$D$4:$Q$4,0)-1))),INDEX($D11:$Q11,MATCH($B$3,$D$4:$Q$4,0)+1)-INDEX($D11:$Q11,MATCH($B$3,$D$4:$Q$4,0)-1),""),"")</f>
        <v/>
      </c>
      <c r="T11" s="105">
        <f>IFERROR(IF(S11="","",IF(AND(INDEX($D11:$Q11,MATCH($B$3,$D$4:$Q$4,0)+1)=0,INDEX($D11:$Q11,MATCH($B$3,$D$4:$Q$4,0)-1)&gt;0),"WENT TO ZERO",IF(AND(INDEX($D11:$Q11,MATCH($B$3,$D$4:$Q$4,0)-1)=0,INDEX($D11:$Q11,MATCH($B$3,$D$4:$Q$4,0)+1)&gt;0),"NEW ENTRY",IF(INDEX($D11:$Q11,MATCH($B$3,$D$4:$Q$4,0)-1)=0,"absent",IF(S11/INDEX($D11:$Q11,MATCH($B$3,$D$4:$Q$4,0)-1)&lt;-0.2,"FREQUENCY LOSS",IF(AND(R11&lt;-0.1,S11&gt;=0),"WIN",IF(R11&gt;0.1,"LOSS",IF(S11/INDEX($D11:$Q11,MATCH($B$3,$D$4:$Q$4,0)-1)&gt;0.2,"FREQUENCY GAIN","hold")))))))),"")</f>
        <v/>
      </c>
    </row>
    <row r="12" ht="23.85" customHeight="1" s="65">
      <c r="A12" s="72" t="inlineStr">
        <is>
          <t>What financial aid or scholarships are available for community college students in Ohio?</t>
        </is>
      </c>
      <c r="B12" s="72" t="inlineStr">
        <is>
          <t>Financial aid</t>
        </is>
      </c>
      <c r="C12" s="72" t="inlineStr">
        <is>
          <t>ChatGPT</t>
        </is>
      </c>
      <c r="D12" s="99" t="n">
        <v>1.09</v>
      </c>
      <c r="E12" s="100" t="n">
        <v>30</v>
      </c>
      <c r="F12" s="99" t="n">
        <v>1.19</v>
      </c>
      <c r="G12" s="100" t="n">
        <v>30</v>
      </c>
      <c r="H12" s="101" t="n"/>
      <c r="I12" s="102" t="n"/>
      <c r="J12" s="101" t="n"/>
      <c r="K12" s="102" t="n"/>
      <c r="L12" s="101" t="n"/>
      <c r="M12" s="102" t="n"/>
      <c r="N12" s="101" t="n"/>
      <c r="O12" s="102" t="n"/>
      <c r="P12" s="101" t="n"/>
      <c r="Q12" s="102" t="n"/>
      <c r="R12" s="103">
        <f>IFERROR(IF(AND(ISNUMBER(INDEX($D12:$Q12,MATCH($B$3,$D$4:$Q$4,0))),ISNUMBER(INDEX($D12:$Q12,MATCH($B$3,$D$4:$Q$4,0)-2))),INDEX($D12:$Q12,MATCH($B$3,$D$4:$Q$4,0))-INDEX($D12:$Q12,MATCH($B$3,$D$4:$Q$4,0)-2),""),"")</f>
        <v/>
      </c>
      <c r="S12" s="104">
        <f>IFERROR(IF(AND(ISNUMBER(INDEX($D12:$Q12,MATCH($B$3,$D$4:$Q$4,0)+1)),ISNUMBER(INDEX($D12:$Q12,MATCH($B$3,$D$4:$Q$4,0)-1))),INDEX($D12:$Q12,MATCH($B$3,$D$4:$Q$4,0)+1)-INDEX($D12:$Q12,MATCH($B$3,$D$4:$Q$4,0)-1),""),"")</f>
        <v/>
      </c>
      <c r="T12" s="105">
        <f>IFERROR(IF(S12="","",IF(AND(INDEX($D12:$Q12,MATCH($B$3,$D$4:$Q$4,0)+1)=0,INDEX($D12:$Q12,MATCH($B$3,$D$4:$Q$4,0)-1)&gt;0),"WENT TO ZERO",IF(AND(INDEX($D12:$Q12,MATCH($B$3,$D$4:$Q$4,0)-1)=0,INDEX($D12:$Q12,MATCH($B$3,$D$4:$Q$4,0)+1)&gt;0),"NEW ENTRY",IF(INDEX($D12:$Q12,MATCH($B$3,$D$4:$Q$4,0)-1)=0,"absent",IF(S12/INDEX($D12:$Q12,MATCH($B$3,$D$4:$Q$4,0)-1)&lt;-0.2,"FREQUENCY LOSS",IF(AND(R12&lt;-0.1,S12&gt;=0),"WIN",IF(R12&gt;0.1,"LOSS",IF(S12/INDEX($D12:$Q12,MATCH($B$3,$D$4:$Q$4,0)-1)&gt;0.2,"FREQUENCY GAIN","hold")))))))),"")</f>
        <v/>
      </c>
    </row>
    <row r="13" ht="23.85" customHeight="1" s="65">
      <c r="A13" s="72" t="inlineStr">
        <is>
          <t>What financial aid or scholarships are available for community college students in Ohio?</t>
        </is>
      </c>
      <c r="B13" s="72" t="inlineStr">
        <is>
          <t>Financial aid</t>
        </is>
      </c>
      <c r="C13" s="72" t="inlineStr">
        <is>
          <t>Gemini</t>
        </is>
      </c>
      <c r="D13" s="99" t="n">
        <v>1</v>
      </c>
      <c r="E13" s="100" t="n">
        <v>31</v>
      </c>
      <c r="F13" s="99" t="n">
        <v>1.12</v>
      </c>
      <c r="G13" s="100" t="n">
        <v>30</v>
      </c>
      <c r="H13" s="101" t="n"/>
      <c r="I13" s="102" t="n"/>
      <c r="J13" s="101" t="n"/>
      <c r="K13" s="102" t="n"/>
      <c r="L13" s="101" t="n"/>
      <c r="M13" s="102" t="n"/>
      <c r="N13" s="101" t="n"/>
      <c r="O13" s="102" t="n"/>
      <c r="P13" s="101" t="n"/>
      <c r="Q13" s="102" t="n"/>
      <c r="R13" s="103">
        <f>IFERROR(IF(AND(ISNUMBER(INDEX($D13:$Q13,MATCH($B$3,$D$4:$Q$4,0))),ISNUMBER(INDEX($D13:$Q13,MATCH($B$3,$D$4:$Q$4,0)-2))),INDEX($D13:$Q13,MATCH($B$3,$D$4:$Q$4,0))-INDEX($D13:$Q13,MATCH($B$3,$D$4:$Q$4,0)-2),""),"")</f>
        <v/>
      </c>
      <c r="S13" s="104">
        <f>IFERROR(IF(AND(ISNUMBER(INDEX($D13:$Q13,MATCH($B$3,$D$4:$Q$4,0)+1)),ISNUMBER(INDEX($D13:$Q13,MATCH($B$3,$D$4:$Q$4,0)-1))),INDEX($D13:$Q13,MATCH($B$3,$D$4:$Q$4,0)+1)-INDEX($D13:$Q13,MATCH($B$3,$D$4:$Q$4,0)-1),""),"")</f>
        <v/>
      </c>
      <c r="T13" s="105">
        <f>IFERROR(IF(S13="","",IF(AND(INDEX($D13:$Q13,MATCH($B$3,$D$4:$Q$4,0)+1)=0,INDEX($D13:$Q13,MATCH($B$3,$D$4:$Q$4,0)-1)&gt;0),"WENT TO ZERO",IF(AND(INDEX($D13:$Q13,MATCH($B$3,$D$4:$Q$4,0)-1)=0,INDEX($D13:$Q13,MATCH($B$3,$D$4:$Q$4,0)+1)&gt;0),"NEW ENTRY",IF(INDEX($D13:$Q13,MATCH($B$3,$D$4:$Q$4,0)-1)=0,"absent",IF(S13/INDEX($D13:$Q13,MATCH($B$3,$D$4:$Q$4,0)-1)&lt;-0.2,"FREQUENCY LOSS",IF(AND(R13&lt;-0.1,S13&gt;=0),"WIN",IF(R13&gt;0.1,"LOSS",IF(S13/INDEX($D13:$Q13,MATCH($B$3,$D$4:$Q$4,0)-1)&gt;0.2,"FREQUENCY GAIN","hold")))))))),"")</f>
        <v/>
      </c>
    </row>
    <row r="14" ht="23.85" customHeight="1" s="65">
      <c r="A14" s="72" t="inlineStr">
        <is>
          <t>What financial aid or scholarships are available for community college students in Ohio?</t>
        </is>
      </c>
      <c r="B14" s="72" t="inlineStr">
        <is>
          <t>Financial aid</t>
        </is>
      </c>
      <c r="C14" s="72" t="inlineStr">
        <is>
          <t>Google AI Overview</t>
        </is>
      </c>
      <c r="D14" s="99" t="n">
        <v>1.99</v>
      </c>
      <c r="E14" s="100" t="n">
        <v>25</v>
      </c>
      <c r="F14" s="99" t="n">
        <v>2.71</v>
      </c>
      <c r="G14" s="100" t="n">
        <v>19</v>
      </c>
      <c r="H14" s="101" t="n"/>
      <c r="I14" s="102" t="n"/>
      <c r="J14" s="101" t="n"/>
      <c r="K14" s="102" t="n"/>
      <c r="L14" s="101" t="n"/>
      <c r="M14" s="102" t="n"/>
      <c r="N14" s="101" t="n"/>
      <c r="O14" s="102" t="n"/>
      <c r="P14" s="101" t="n"/>
      <c r="Q14" s="102" t="n"/>
      <c r="R14" s="103">
        <f>IFERROR(IF(AND(ISNUMBER(INDEX($D14:$Q14,MATCH($B$3,$D$4:$Q$4,0))),ISNUMBER(INDEX($D14:$Q14,MATCH($B$3,$D$4:$Q$4,0)-2))),INDEX($D14:$Q14,MATCH($B$3,$D$4:$Q$4,0))-INDEX($D14:$Q14,MATCH($B$3,$D$4:$Q$4,0)-2),""),"")</f>
        <v/>
      </c>
      <c r="S14" s="104">
        <f>IFERROR(IF(AND(ISNUMBER(INDEX($D14:$Q14,MATCH($B$3,$D$4:$Q$4,0)+1)),ISNUMBER(INDEX($D14:$Q14,MATCH($B$3,$D$4:$Q$4,0)-1))),INDEX($D14:$Q14,MATCH($B$3,$D$4:$Q$4,0)+1)-INDEX($D14:$Q14,MATCH($B$3,$D$4:$Q$4,0)-1),""),"")</f>
        <v/>
      </c>
      <c r="T14" s="105">
        <f>IFERROR(IF(S14="","",IF(AND(INDEX($D14:$Q14,MATCH($B$3,$D$4:$Q$4,0)+1)=0,INDEX($D14:$Q14,MATCH($B$3,$D$4:$Q$4,0)-1)&gt;0),"WENT TO ZERO",IF(AND(INDEX($D14:$Q14,MATCH($B$3,$D$4:$Q$4,0)-1)=0,INDEX($D14:$Q14,MATCH($B$3,$D$4:$Q$4,0)+1)&gt;0),"NEW ENTRY",IF(INDEX($D14:$Q14,MATCH($B$3,$D$4:$Q$4,0)-1)=0,"absent",IF(S14/INDEX($D14:$Q14,MATCH($B$3,$D$4:$Q$4,0)-1)&lt;-0.2,"FREQUENCY LOSS",IF(AND(R14&lt;-0.1,S14&gt;=0),"WIN",IF(R14&gt;0.1,"LOSS",IF(S14/INDEX($D14:$Q14,MATCH($B$3,$D$4:$Q$4,0)-1)&gt;0.2,"FREQUENCY GAIN","hold")))))))),"")</f>
        <v/>
      </c>
    </row>
    <row r="15" ht="15" customHeight="1" s="65">
      <c r="A15" s="72" t="inlineStr">
        <is>
          <t>best community colleges near me</t>
        </is>
      </c>
      <c r="B15" s="72" t="inlineStr">
        <is>
          <t>Location — discovery</t>
        </is>
      </c>
      <c r="C15" s="72" t="inlineStr">
        <is>
          <t>ChatGPT</t>
        </is>
      </c>
      <c r="D15" s="99" t="n">
        <v>1</v>
      </c>
      <c r="E15" s="100" t="n">
        <v>31</v>
      </c>
      <c r="F15" s="99" t="n">
        <v>1</v>
      </c>
      <c r="G15" s="100" t="n">
        <v>29</v>
      </c>
      <c r="H15" s="101" t="n"/>
      <c r="I15" s="102" t="n"/>
      <c r="J15" s="101" t="n"/>
      <c r="K15" s="102" t="n"/>
      <c r="L15" s="101" t="n"/>
      <c r="M15" s="102" t="n"/>
      <c r="N15" s="101" t="n"/>
      <c r="O15" s="102" t="n"/>
      <c r="P15" s="101" t="n"/>
      <c r="Q15" s="102" t="n"/>
      <c r="R15" s="103">
        <f>IFERROR(IF(AND(ISNUMBER(INDEX($D15:$Q15,MATCH($B$3,$D$4:$Q$4,0))),ISNUMBER(INDEX($D15:$Q15,MATCH($B$3,$D$4:$Q$4,0)-2))),INDEX($D15:$Q15,MATCH($B$3,$D$4:$Q$4,0))-INDEX($D15:$Q15,MATCH($B$3,$D$4:$Q$4,0)-2),""),"")</f>
        <v/>
      </c>
      <c r="S15" s="104">
        <f>IFERROR(IF(AND(ISNUMBER(INDEX($D15:$Q15,MATCH($B$3,$D$4:$Q$4,0)+1)),ISNUMBER(INDEX($D15:$Q15,MATCH($B$3,$D$4:$Q$4,0)-1))),INDEX($D15:$Q15,MATCH($B$3,$D$4:$Q$4,0)+1)-INDEX($D15:$Q15,MATCH($B$3,$D$4:$Q$4,0)-1),""),"")</f>
        <v/>
      </c>
      <c r="T15" s="105">
        <f>IFERROR(IF(S15="","",IF(AND(INDEX($D15:$Q15,MATCH($B$3,$D$4:$Q$4,0)+1)=0,INDEX($D15:$Q15,MATCH($B$3,$D$4:$Q$4,0)-1)&gt;0),"WENT TO ZERO",IF(AND(INDEX($D15:$Q15,MATCH($B$3,$D$4:$Q$4,0)-1)=0,INDEX($D15:$Q15,MATCH($B$3,$D$4:$Q$4,0)+1)&gt;0),"NEW ENTRY",IF(INDEX($D15:$Q15,MATCH($B$3,$D$4:$Q$4,0)-1)=0,"absent",IF(S15/INDEX($D15:$Q15,MATCH($B$3,$D$4:$Q$4,0)-1)&lt;-0.2,"FREQUENCY LOSS",IF(AND(R15&lt;-0.1,S15&gt;=0),"WIN",IF(R15&gt;0.1,"LOSS",IF(S15/INDEX($D15:$Q15,MATCH($B$3,$D$4:$Q$4,0)-1)&gt;0.2,"FREQUENCY GAIN","hold")))))))),"")</f>
        <v/>
      </c>
    </row>
    <row r="16" ht="15" customHeight="1" s="65">
      <c r="A16" s="72" t="inlineStr">
        <is>
          <t>best community colleges near me</t>
        </is>
      </c>
      <c r="B16" s="72" t="inlineStr">
        <is>
          <t>Location — discovery</t>
        </is>
      </c>
      <c r="C16" s="72" t="inlineStr">
        <is>
          <t>Gemini</t>
        </is>
      </c>
      <c r="D16" s="99" t="n">
        <v>1.25</v>
      </c>
      <c r="E16" s="100" t="n">
        <v>30</v>
      </c>
      <c r="F16" s="99" t="n">
        <v>1.23</v>
      </c>
      <c r="G16" s="100" t="n">
        <v>28</v>
      </c>
      <c r="H16" s="101" t="n"/>
      <c r="I16" s="102" t="n"/>
      <c r="J16" s="101" t="n"/>
      <c r="K16" s="102" t="n"/>
      <c r="L16" s="101" t="n"/>
      <c r="M16" s="102" t="n"/>
      <c r="N16" s="101" t="n"/>
      <c r="O16" s="102" t="n"/>
      <c r="P16" s="101" t="n"/>
      <c r="Q16" s="102" t="n"/>
      <c r="R16" s="103">
        <f>IFERROR(IF(AND(ISNUMBER(INDEX($D16:$Q16,MATCH($B$3,$D$4:$Q$4,0))),ISNUMBER(INDEX($D16:$Q16,MATCH($B$3,$D$4:$Q$4,0)-2))),INDEX($D16:$Q16,MATCH($B$3,$D$4:$Q$4,0))-INDEX($D16:$Q16,MATCH($B$3,$D$4:$Q$4,0)-2),""),"")</f>
        <v/>
      </c>
      <c r="S16" s="104">
        <f>IFERROR(IF(AND(ISNUMBER(INDEX($D16:$Q16,MATCH($B$3,$D$4:$Q$4,0)+1)),ISNUMBER(INDEX($D16:$Q16,MATCH($B$3,$D$4:$Q$4,0)-1))),INDEX($D16:$Q16,MATCH($B$3,$D$4:$Q$4,0)+1)-INDEX($D16:$Q16,MATCH($B$3,$D$4:$Q$4,0)-1),""),"")</f>
        <v/>
      </c>
      <c r="T16" s="105">
        <f>IFERROR(IF(S16="","",IF(AND(INDEX($D16:$Q16,MATCH($B$3,$D$4:$Q$4,0)+1)=0,INDEX($D16:$Q16,MATCH($B$3,$D$4:$Q$4,0)-1)&gt;0),"WENT TO ZERO",IF(AND(INDEX($D16:$Q16,MATCH($B$3,$D$4:$Q$4,0)-1)=0,INDEX($D16:$Q16,MATCH($B$3,$D$4:$Q$4,0)+1)&gt;0),"NEW ENTRY",IF(INDEX($D16:$Q16,MATCH($B$3,$D$4:$Q$4,0)-1)=0,"absent",IF(S16/INDEX($D16:$Q16,MATCH($B$3,$D$4:$Q$4,0)-1)&lt;-0.2,"FREQUENCY LOSS",IF(AND(R16&lt;-0.1,S16&gt;=0),"WIN",IF(R16&gt;0.1,"LOSS",IF(S16/INDEX($D16:$Q16,MATCH($B$3,$D$4:$Q$4,0)-1)&gt;0.2,"FREQUENCY GAIN","hold")))))))),"")</f>
        <v/>
      </c>
    </row>
    <row r="17" ht="15" customHeight="1" s="65">
      <c r="A17" s="72" t="inlineStr">
        <is>
          <t>best community colleges near me</t>
        </is>
      </c>
      <c r="B17" s="72" t="inlineStr">
        <is>
          <t>Location — discovery</t>
        </is>
      </c>
      <c r="C17" s="72" t="inlineStr">
        <is>
          <t>Google AI Overview</t>
        </is>
      </c>
      <c r="D17" s="99" t="n">
        <v>1.1</v>
      </c>
      <c r="E17" s="100" t="n">
        <v>21</v>
      </c>
      <c r="F17" s="99" t="n">
        <v>1</v>
      </c>
      <c r="G17" s="100" t="n">
        <v>29</v>
      </c>
      <c r="H17" s="101" t="n"/>
      <c r="I17" s="102" t="n"/>
      <c r="J17" s="101" t="n"/>
      <c r="K17" s="102" t="n"/>
      <c r="L17" s="101" t="n"/>
      <c r="M17" s="102" t="n"/>
      <c r="N17" s="101" t="n"/>
      <c r="O17" s="102" t="n"/>
      <c r="P17" s="101" t="n"/>
      <c r="Q17" s="102" t="n"/>
      <c r="R17" s="103">
        <f>IFERROR(IF(AND(ISNUMBER(INDEX($D17:$Q17,MATCH($B$3,$D$4:$Q$4,0))),ISNUMBER(INDEX($D17:$Q17,MATCH($B$3,$D$4:$Q$4,0)-2))),INDEX($D17:$Q17,MATCH($B$3,$D$4:$Q$4,0))-INDEX($D17:$Q17,MATCH($B$3,$D$4:$Q$4,0)-2),""),"")</f>
        <v/>
      </c>
      <c r="S17" s="104">
        <f>IFERROR(IF(AND(ISNUMBER(INDEX($D17:$Q17,MATCH($B$3,$D$4:$Q$4,0)+1)),ISNUMBER(INDEX($D17:$Q17,MATCH($B$3,$D$4:$Q$4,0)-1))),INDEX($D17:$Q17,MATCH($B$3,$D$4:$Q$4,0)+1)-INDEX($D17:$Q17,MATCH($B$3,$D$4:$Q$4,0)-1),""),"")</f>
        <v/>
      </c>
      <c r="T17" s="105">
        <f>IFERROR(IF(S17="","",IF(AND(INDEX($D17:$Q17,MATCH($B$3,$D$4:$Q$4,0)+1)=0,INDEX($D17:$Q17,MATCH($B$3,$D$4:$Q$4,0)-1)&gt;0),"WENT TO ZERO",IF(AND(INDEX($D17:$Q17,MATCH($B$3,$D$4:$Q$4,0)-1)=0,INDEX($D17:$Q17,MATCH($B$3,$D$4:$Q$4,0)+1)&gt;0),"NEW ENTRY",IF(INDEX($D17:$Q17,MATCH($B$3,$D$4:$Q$4,0)-1)=0,"absent",IF(S17/INDEX($D17:$Q17,MATCH($B$3,$D$4:$Q$4,0)-1)&lt;-0.2,"FREQUENCY LOSS",IF(AND(R17&lt;-0.1,S17&gt;=0),"WIN",IF(R17&gt;0.1,"LOSS",IF(S17/INDEX($D17:$Q17,MATCH($B$3,$D$4:$Q$4,0)-1)&gt;0.2,"FREQUENCY GAIN","hold")))))))),"")</f>
        <v/>
      </c>
    </row>
    <row r="18" ht="15" customHeight="1" s="65">
      <c r="A18" s="72" t="inlineStr">
        <is>
          <t>cna classes near me</t>
        </is>
      </c>
      <c r="B18" s="72" t="inlineStr">
        <is>
          <t>CNA</t>
        </is>
      </c>
      <c r="C18" s="72" t="inlineStr">
        <is>
          <t>ChatGPT</t>
        </is>
      </c>
      <c r="D18" s="99" t="n">
        <v>1.19</v>
      </c>
      <c r="E18" s="100" t="n">
        <v>31</v>
      </c>
      <c r="F18" s="99" t="n">
        <v>1</v>
      </c>
      <c r="G18" s="100" t="n">
        <v>31</v>
      </c>
      <c r="H18" s="101" t="n"/>
      <c r="I18" s="102" t="n"/>
      <c r="J18" s="101" t="n"/>
      <c r="K18" s="102" t="n"/>
      <c r="L18" s="101" t="n"/>
      <c r="M18" s="102" t="n"/>
      <c r="N18" s="101" t="n"/>
      <c r="O18" s="102" t="n"/>
      <c r="P18" s="101" t="n"/>
      <c r="Q18" s="102" t="n"/>
      <c r="R18" s="103">
        <f>IFERROR(IF(AND(ISNUMBER(INDEX($D18:$Q18,MATCH($B$3,$D$4:$Q$4,0))),ISNUMBER(INDEX($D18:$Q18,MATCH($B$3,$D$4:$Q$4,0)-2))),INDEX($D18:$Q18,MATCH($B$3,$D$4:$Q$4,0))-INDEX($D18:$Q18,MATCH($B$3,$D$4:$Q$4,0)-2),""),"")</f>
        <v/>
      </c>
      <c r="S18" s="104">
        <f>IFERROR(IF(AND(ISNUMBER(INDEX($D18:$Q18,MATCH($B$3,$D$4:$Q$4,0)+1)),ISNUMBER(INDEX($D18:$Q18,MATCH($B$3,$D$4:$Q$4,0)-1))),INDEX($D18:$Q18,MATCH($B$3,$D$4:$Q$4,0)+1)-INDEX($D18:$Q18,MATCH($B$3,$D$4:$Q$4,0)-1),""),"")</f>
        <v/>
      </c>
      <c r="T18" s="105">
        <f>IFERROR(IF(S18="","",IF(AND(INDEX($D18:$Q18,MATCH($B$3,$D$4:$Q$4,0)+1)=0,INDEX($D18:$Q18,MATCH($B$3,$D$4:$Q$4,0)-1)&gt;0),"WENT TO ZERO",IF(AND(INDEX($D18:$Q18,MATCH($B$3,$D$4:$Q$4,0)-1)=0,INDEX($D18:$Q18,MATCH($B$3,$D$4:$Q$4,0)+1)&gt;0),"NEW ENTRY",IF(INDEX($D18:$Q18,MATCH($B$3,$D$4:$Q$4,0)-1)=0,"absent",IF(S18/INDEX($D18:$Q18,MATCH($B$3,$D$4:$Q$4,0)-1)&lt;-0.2,"FREQUENCY LOSS",IF(AND(R18&lt;-0.1,S18&gt;=0),"WIN",IF(R18&gt;0.1,"LOSS",IF(S18/INDEX($D18:$Q18,MATCH($B$3,$D$4:$Q$4,0)-1)&gt;0.2,"FREQUENCY GAIN","hold")))))))),"")</f>
        <v/>
      </c>
    </row>
    <row r="19" ht="15" customHeight="1" s="65">
      <c r="A19" s="72" t="inlineStr">
        <is>
          <t>cna classes near me</t>
        </is>
      </c>
      <c r="B19" s="72" t="inlineStr">
        <is>
          <t>CNA</t>
        </is>
      </c>
      <c r="C19" s="72" t="inlineStr">
        <is>
          <t>Gemini</t>
        </is>
      </c>
      <c r="D19" s="99" t="n">
        <v>1</v>
      </c>
      <c r="E19" s="100" t="n">
        <v>31</v>
      </c>
      <c r="F19" s="99" t="n">
        <v>1</v>
      </c>
      <c r="G19" s="100" t="n">
        <v>31</v>
      </c>
      <c r="H19" s="101" t="n"/>
      <c r="I19" s="102" t="n"/>
      <c r="J19" s="101" t="n"/>
      <c r="K19" s="102" t="n"/>
      <c r="L19" s="101" t="n"/>
      <c r="M19" s="102" t="n"/>
      <c r="N19" s="101" t="n"/>
      <c r="O19" s="102" t="n"/>
      <c r="P19" s="101" t="n"/>
      <c r="Q19" s="102" t="n"/>
      <c r="R19" s="103">
        <f>IFERROR(IF(AND(ISNUMBER(INDEX($D19:$Q19,MATCH($B$3,$D$4:$Q$4,0))),ISNUMBER(INDEX($D19:$Q19,MATCH($B$3,$D$4:$Q$4,0)-2))),INDEX($D19:$Q19,MATCH($B$3,$D$4:$Q$4,0))-INDEX($D19:$Q19,MATCH($B$3,$D$4:$Q$4,0)-2),""),"")</f>
        <v/>
      </c>
      <c r="S19" s="104">
        <f>IFERROR(IF(AND(ISNUMBER(INDEX($D19:$Q19,MATCH($B$3,$D$4:$Q$4,0)+1)),ISNUMBER(INDEX($D19:$Q19,MATCH($B$3,$D$4:$Q$4,0)-1))),INDEX($D19:$Q19,MATCH($B$3,$D$4:$Q$4,0)+1)-INDEX($D19:$Q19,MATCH($B$3,$D$4:$Q$4,0)-1),""),"")</f>
        <v/>
      </c>
      <c r="T19" s="105">
        <f>IFERROR(IF(S19="","",IF(AND(INDEX($D19:$Q19,MATCH($B$3,$D$4:$Q$4,0)+1)=0,INDEX($D19:$Q19,MATCH($B$3,$D$4:$Q$4,0)-1)&gt;0),"WENT TO ZERO",IF(AND(INDEX($D19:$Q19,MATCH($B$3,$D$4:$Q$4,0)-1)=0,INDEX($D19:$Q19,MATCH($B$3,$D$4:$Q$4,0)+1)&gt;0),"NEW ENTRY",IF(INDEX($D19:$Q19,MATCH($B$3,$D$4:$Q$4,0)-1)=0,"absent",IF(S19/INDEX($D19:$Q19,MATCH($B$3,$D$4:$Q$4,0)-1)&lt;-0.2,"FREQUENCY LOSS",IF(AND(R19&lt;-0.1,S19&gt;=0),"WIN",IF(R19&gt;0.1,"LOSS",IF(S19/INDEX($D19:$Q19,MATCH($B$3,$D$4:$Q$4,0)-1)&gt;0.2,"FREQUENCY GAIN","hold")))))))),"")</f>
        <v/>
      </c>
    </row>
    <row r="20" ht="15" customHeight="1" s="65">
      <c r="A20" s="72" t="inlineStr">
        <is>
          <t>cna classes near me</t>
        </is>
      </c>
      <c r="B20" s="72" t="inlineStr">
        <is>
          <t>CNA</t>
        </is>
      </c>
      <c r="C20" s="72" t="inlineStr">
        <is>
          <t>Google AI Overview</t>
        </is>
      </c>
      <c r="D20" s="101" t="n"/>
      <c r="E20" s="100" t="n">
        <v>0</v>
      </c>
      <c r="F20" s="99" t="n">
        <v>1</v>
      </c>
      <c r="G20" s="100" t="n">
        <v>8</v>
      </c>
      <c r="H20" s="101" t="n"/>
      <c r="I20" s="102" t="n"/>
      <c r="J20" s="101" t="n"/>
      <c r="K20" s="102" t="n"/>
      <c r="L20" s="101" t="n"/>
      <c r="M20" s="102" t="n"/>
      <c r="N20" s="101" t="n"/>
      <c r="O20" s="102" t="n"/>
      <c r="P20" s="101" t="n"/>
      <c r="Q20" s="102" t="n"/>
      <c r="R20" s="103">
        <f>IFERROR(IF(AND(ISNUMBER(INDEX($D20:$Q20,MATCH($B$3,$D$4:$Q$4,0))),ISNUMBER(INDEX($D20:$Q20,MATCH($B$3,$D$4:$Q$4,0)-2))),INDEX($D20:$Q20,MATCH($B$3,$D$4:$Q$4,0))-INDEX($D20:$Q20,MATCH($B$3,$D$4:$Q$4,0)-2),""),"")</f>
        <v/>
      </c>
      <c r="S20" s="104">
        <f>IFERROR(IF(AND(ISNUMBER(INDEX($D20:$Q20,MATCH($B$3,$D$4:$Q$4,0)+1)),ISNUMBER(INDEX($D20:$Q20,MATCH($B$3,$D$4:$Q$4,0)-1))),INDEX($D20:$Q20,MATCH($B$3,$D$4:$Q$4,0)+1)-INDEX($D20:$Q20,MATCH($B$3,$D$4:$Q$4,0)-1),""),"")</f>
        <v/>
      </c>
      <c r="T20" s="105">
        <f>IFERROR(IF(S20="","",IF(AND(INDEX($D20:$Q20,MATCH($B$3,$D$4:$Q$4,0)+1)=0,INDEX($D20:$Q20,MATCH($B$3,$D$4:$Q$4,0)-1)&gt;0),"WENT TO ZERO",IF(AND(INDEX($D20:$Q20,MATCH($B$3,$D$4:$Q$4,0)-1)=0,INDEX($D20:$Q20,MATCH($B$3,$D$4:$Q$4,0)+1)&gt;0),"NEW ENTRY",IF(INDEX($D20:$Q20,MATCH($B$3,$D$4:$Q$4,0)-1)=0,"absent",IF(S20/INDEX($D20:$Q20,MATCH($B$3,$D$4:$Q$4,0)-1)&lt;-0.2,"FREQUENCY LOSS",IF(AND(R20&lt;-0.1,S20&gt;=0),"WIN",IF(R20&gt;0.1,"LOSS",IF(S20/INDEX($D20:$Q20,MATCH($B$3,$D$4:$Q$4,0)-1)&gt;0.2,"FREQUENCY GAIN","hold")))))))),"")</f>
        <v/>
      </c>
    </row>
    <row r="21" ht="15" customHeight="1" s="65">
      <c r="A21" s="72" t="inlineStr">
        <is>
          <t>colleges that have surgical tech programs</t>
        </is>
      </c>
      <c r="B21" s="72" t="inlineStr">
        <is>
          <t>Surgical tech</t>
        </is>
      </c>
      <c r="C21" s="72" t="inlineStr">
        <is>
          <t>ChatGPT</t>
        </is>
      </c>
      <c r="D21" s="99" t="n">
        <v>1</v>
      </c>
      <c r="E21" s="100" t="n">
        <v>30</v>
      </c>
      <c r="F21" s="99" t="n">
        <v>1</v>
      </c>
      <c r="G21" s="100" t="n">
        <v>31</v>
      </c>
      <c r="H21" s="101" t="n"/>
      <c r="I21" s="102" t="n"/>
      <c r="J21" s="101" t="n"/>
      <c r="K21" s="102" t="n"/>
      <c r="L21" s="101" t="n"/>
      <c r="M21" s="102" t="n"/>
      <c r="N21" s="101" t="n"/>
      <c r="O21" s="102" t="n"/>
      <c r="P21" s="101" t="n"/>
      <c r="Q21" s="102" t="n"/>
      <c r="R21" s="103">
        <f>IFERROR(IF(AND(ISNUMBER(INDEX($D21:$Q21,MATCH($B$3,$D$4:$Q$4,0))),ISNUMBER(INDEX($D21:$Q21,MATCH($B$3,$D$4:$Q$4,0)-2))),INDEX($D21:$Q21,MATCH($B$3,$D$4:$Q$4,0))-INDEX($D21:$Q21,MATCH($B$3,$D$4:$Q$4,0)-2),""),"")</f>
        <v/>
      </c>
      <c r="S21" s="104">
        <f>IFERROR(IF(AND(ISNUMBER(INDEX($D21:$Q21,MATCH($B$3,$D$4:$Q$4,0)+1)),ISNUMBER(INDEX($D21:$Q21,MATCH($B$3,$D$4:$Q$4,0)-1))),INDEX($D21:$Q21,MATCH($B$3,$D$4:$Q$4,0)+1)-INDEX($D21:$Q21,MATCH($B$3,$D$4:$Q$4,0)-1),""),"")</f>
        <v/>
      </c>
      <c r="T21" s="105">
        <f>IFERROR(IF(S21="","",IF(AND(INDEX($D21:$Q21,MATCH($B$3,$D$4:$Q$4,0)+1)=0,INDEX($D21:$Q21,MATCH($B$3,$D$4:$Q$4,0)-1)&gt;0),"WENT TO ZERO",IF(AND(INDEX($D21:$Q21,MATCH($B$3,$D$4:$Q$4,0)-1)=0,INDEX($D21:$Q21,MATCH($B$3,$D$4:$Q$4,0)+1)&gt;0),"NEW ENTRY",IF(INDEX($D21:$Q21,MATCH($B$3,$D$4:$Q$4,0)-1)=0,"absent",IF(S21/INDEX($D21:$Q21,MATCH($B$3,$D$4:$Q$4,0)-1)&lt;-0.2,"FREQUENCY LOSS",IF(AND(R21&lt;-0.1,S21&gt;=0),"WIN",IF(R21&gt;0.1,"LOSS",IF(S21/INDEX($D21:$Q21,MATCH($B$3,$D$4:$Q$4,0)-1)&gt;0.2,"FREQUENCY GAIN","hold")))))))),"")</f>
        <v/>
      </c>
    </row>
    <row r="22" ht="15" customHeight="1" s="65">
      <c r="A22" s="72" t="inlineStr">
        <is>
          <t>colleges that have surgical tech programs</t>
        </is>
      </c>
      <c r="B22" s="72" t="inlineStr">
        <is>
          <t>Surgical tech</t>
        </is>
      </c>
      <c r="C22" s="72" t="inlineStr">
        <is>
          <t>Gemini</t>
        </is>
      </c>
      <c r="D22" s="99" t="n">
        <v>1</v>
      </c>
      <c r="E22" s="100" t="n">
        <v>29</v>
      </c>
      <c r="F22" s="99" t="n">
        <v>1</v>
      </c>
      <c r="G22" s="100" t="n">
        <v>31</v>
      </c>
      <c r="H22" s="101" t="n"/>
      <c r="I22" s="102" t="n"/>
      <c r="J22" s="101" t="n"/>
      <c r="K22" s="102" t="n"/>
      <c r="L22" s="101" t="n"/>
      <c r="M22" s="102" t="n"/>
      <c r="N22" s="101" t="n"/>
      <c r="O22" s="102" t="n"/>
      <c r="P22" s="101" t="n"/>
      <c r="Q22" s="102" t="n"/>
      <c r="R22" s="103">
        <f>IFERROR(IF(AND(ISNUMBER(INDEX($D22:$Q22,MATCH($B$3,$D$4:$Q$4,0))),ISNUMBER(INDEX($D22:$Q22,MATCH($B$3,$D$4:$Q$4,0)-2))),INDEX($D22:$Q22,MATCH($B$3,$D$4:$Q$4,0))-INDEX($D22:$Q22,MATCH($B$3,$D$4:$Q$4,0)-2),""),"")</f>
        <v/>
      </c>
      <c r="S22" s="104">
        <f>IFERROR(IF(AND(ISNUMBER(INDEX($D22:$Q22,MATCH($B$3,$D$4:$Q$4,0)+1)),ISNUMBER(INDEX($D22:$Q22,MATCH($B$3,$D$4:$Q$4,0)-1))),INDEX($D22:$Q22,MATCH($B$3,$D$4:$Q$4,0)+1)-INDEX($D22:$Q22,MATCH($B$3,$D$4:$Q$4,0)-1),""),"")</f>
        <v/>
      </c>
      <c r="T22" s="105">
        <f>IFERROR(IF(S22="","",IF(AND(INDEX($D22:$Q22,MATCH($B$3,$D$4:$Q$4,0)+1)=0,INDEX($D22:$Q22,MATCH($B$3,$D$4:$Q$4,0)-1)&gt;0),"WENT TO ZERO",IF(AND(INDEX($D22:$Q22,MATCH($B$3,$D$4:$Q$4,0)-1)=0,INDEX($D22:$Q22,MATCH($B$3,$D$4:$Q$4,0)+1)&gt;0),"NEW ENTRY",IF(INDEX($D22:$Q22,MATCH($B$3,$D$4:$Q$4,0)-1)=0,"absent",IF(S22/INDEX($D22:$Q22,MATCH($B$3,$D$4:$Q$4,0)-1)&lt;-0.2,"FREQUENCY LOSS",IF(AND(R22&lt;-0.1,S22&gt;=0),"WIN",IF(R22&gt;0.1,"LOSS",IF(S22/INDEX($D22:$Q22,MATCH($B$3,$D$4:$Q$4,0)-1)&gt;0.2,"FREQUENCY GAIN","hold")))))))),"")</f>
        <v/>
      </c>
    </row>
    <row r="23" ht="15" customHeight="1" s="65">
      <c r="A23" s="72" t="inlineStr">
        <is>
          <t>colleges that have surgical tech programs</t>
        </is>
      </c>
      <c r="B23" s="72" t="inlineStr">
        <is>
          <t>Surgical tech</t>
        </is>
      </c>
      <c r="C23" s="72" t="inlineStr">
        <is>
          <t>Google AI Overview</t>
        </is>
      </c>
      <c r="D23" s="99" t="n">
        <v>1.27</v>
      </c>
      <c r="E23" s="100" t="n">
        <v>31</v>
      </c>
      <c r="F23" s="99" t="n">
        <v>1</v>
      </c>
      <c r="G23" s="100" t="n">
        <v>28</v>
      </c>
      <c r="H23" s="101" t="n"/>
      <c r="I23" s="102" t="n"/>
      <c r="J23" s="101" t="n"/>
      <c r="K23" s="102" t="n"/>
      <c r="L23" s="101" t="n"/>
      <c r="M23" s="102" t="n"/>
      <c r="N23" s="101" t="n"/>
      <c r="O23" s="102" t="n"/>
      <c r="P23" s="101" t="n"/>
      <c r="Q23" s="102" t="n"/>
      <c r="R23" s="103">
        <f>IFERROR(IF(AND(ISNUMBER(INDEX($D23:$Q23,MATCH($B$3,$D$4:$Q$4,0))),ISNUMBER(INDEX($D23:$Q23,MATCH($B$3,$D$4:$Q$4,0)-2))),INDEX($D23:$Q23,MATCH($B$3,$D$4:$Q$4,0))-INDEX($D23:$Q23,MATCH($B$3,$D$4:$Q$4,0)-2),""),"")</f>
        <v/>
      </c>
      <c r="S23" s="104">
        <f>IFERROR(IF(AND(ISNUMBER(INDEX($D23:$Q23,MATCH($B$3,$D$4:$Q$4,0)+1)),ISNUMBER(INDEX($D23:$Q23,MATCH($B$3,$D$4:$Q$4,0)-1))),INDEX($D23:$Q23,MATCH($B$3,$D$4:$Q$4,0)+1)-INDEX($D23:$Q23,MATCH($B$3,$D$4:$Q$4,0)-1),""),"")</f>
        <v/>
      </c>
      <c r="T23" s="105">
        <f>IFERROR(IF(S23="","",IF(AND(INDEX($D23:$Q23,MATCH($B$3,$D$4:$Q$4,0)+1)=0,INDEX($D23:$Q23,MATCH($B$3,$D$4:$Q$4,0)-1)&gt;0),"WENT TO ZERO",IF(AND(INDEX($D23:$Q23,MATCH($B$3,$D$4:$Q$4,0)-1)=0,INDEX($D23:$Q23,MATCH($B$3,$D$4:$Q$4,0)+1)&gt;0),"NEW ENTRY",IF(INDEX($D23:$Q23,MATCH($B$3,$D$4:$Q$4,0)-1)=0,"absent",IF(S23/INDEX($D23:$Q23,MATCH($B$3,$D$4:$Q$4,0)-1)&lt;-0.2,"FREQUENCY LOSS",IF(AND(R23&lt;-0.1,S23&gt;=0),"WIN",IF(R23&gt;0.1,"LOSS",IF(S23/INDEX($D23:$Q23,MATCH($B$3,$D$4:$Q$4,0)-1)&gt;0.2,"FREQUENCY GAIN","hold")))))))),"")</f>
        <v/>
      </c>
    </row>
    <row r="24" ht="15" customHeight="1" s="65">
      <c r="A24" s="72" t="inlineStr">
        <is>
          <t>community colleges in ohio</t>
        </is>
      </c>
      <c r="B24" s="72" t="inlineStr">
        <is>
          <t>Location — state</t>
        </is>
      </c>
      <c r="C24" s="72" t="inlineStr">
        <is>
          <t>ChatGPT</t>
        </is>
      </c>
      <c r="D24" s="99" t="n">
        <v>2.95</v>
      </c>
      <c r="E24" s="100" t="n">
        <v>31</v>
      </c>
      <c r="F24" s="99" t="n">
        <v>2.03</v>
      </c>
      <c r="G24" s="100" t="n">
        <v>30</v>
      </c>
      <c r="H24" s="101" t="n"/>
      <c r="I24" s="102" t="n"/>
      <c r="J24" s="101" t="n"/>
      <c r="K24" s="102" t="n"/>
      <c r="L24" s="101" t="n"/>
      <c r="M24" s="102" t="n"/>
      <c r="N24" s="101" t="n"/>
      <c r="O24" s="102" t="n"/>
      <c r="P24" s="101" t="n"/>
      <c r="Q24" s="102" t="n"/>
      <c r="R24" s="103">
        <f>IFERROR(IF(AND(ISNUMBER(INDEX($D24:$Q24,MATCH($B$3,$D$4:$Q$4,0))),ISNUMBER(INDEX($D24:$Q24,MATCH($B$3,$D$4:$Q$4,0)-2))),INDEX($D24:$Q24,MATCH($B$3,$D$4:$Q$4,0))-INDEX($D24:$Q24,MATCH($B$3,$D$4:$Q$4,0)-2),""),"")</f>
        <v/>
      </c>
      <c r="S24" s="104">
        <f>IFERROR(IF(AND(ISNUMBER(INDEX($D24:$Q24,MATCH($B$3,$D$4:$Q$4,0)+1)),ISNUMBER(INDEX($D24:$Q24,MATCH($B$3,$D$4:$Q$4,0)-1))),INDEX($D24:$Q24,MATCH($B$3,$D$4:$Q$4,0)+1)-INDEX($D24:$Q24,MATCH($B$3,$D$4:$Q$4,0)-1),""),"")</f>
        <v/>
      </c>
      <c r="T24" s="105">
        <f>IFERROR(IF(S24="","",IF(AND(INDEX($D24:$Q24,MATCH($B$3,$D$4:$Q$4,0)+1)=0,INDEX($D24:$Q24,MATCH($B$3,$D$4:$Q$4,0)-1)&gt;0),"WENT TO ZERO",IF(AND(INDEX($D24:$Q24,MATCH($B$3,$D$4:$Q$4,0)-1)=0,INDEX($D24:$Q24,MATCH($B$3,$D$4:$Q$4,0)+1)&gt;0),"NEW ENTRY",IF(INDEX($D24:$Q24,MATCH($B$3,$D$4:$Q$4,0)-1)=0,"absent",IF(S24/INDEX($D24:$Q24,MATCH($B$3,$D$4:$Q$4,0)-1)&lt;-0.2,"FREQUENCY LOSS",IF(AND(R24&lt;-0.1,S24&gt;=0),"WIN",IF(R24&gt;0.1,"LOSS",IF(S24/INDEX($D24:$Q24,MATCH($B$3,$D$4:$Q$4,0)-1)&gt;0.2,"FREQUENCY GAIN","hold")))))))),"")</f>
        <v/>
      </c>
    </row>
    <row r="25" ht="15" customHeight="1" s="65">
      <c r="A25" s="72" t="inlineStr">
        <is>
          <t>community colleges in ohio</t>
        </is>
      </c>
      <c r="B25" s="72" t="inlineStr">
        <is>
          <t>Location — state</t>
        </is>
      </c>
      <c r="C25" s="72" t="inlineStr">
        <is>
          <t>Gemini</t>
        </is>
      </c>
      <c r="D25" s="99" t="n">
        <v>1.28</v>
      </c>
      <c r="E25" s="100" t="n">
        <v>30</v>
      </c>
      <c r="F25" s="99" t="n">
        <v>1.21</v>
      </c>
      <c r="G25" s="100" t="n">
        <v>27</v>
      </c>
      <c r="H25" s="101" t="n"/>
      <c r="I25" s="102" t="n"/>
      <c r="J25" s="101" t="n"/>
      <c r="K25" s="102" t="n"/>
      <c r="L25" s="101" t="n"/>
      <c r="M25" s="102" t="n"/>
      <c r="N25" s="101" t="n"/>
      <c r="O25" s="102" t="n"/>
      <c r="P25" s="101" t="n"/>
      <c r="Q25" s="102" t="n"/>
      <c r="R25" s="103">
        <f>IFERROR(IF(AND(ISNUMBER(INDEX($D25:$Q25,MATCH($B$3,$D$4:$Q$4,0))),ISNUMBER(INDEX($D25:$Q25,MATCH($B$3,$D$4:$Q$4,0)-2))),INDEX($D25:$Q25,MATCH($B$3,$D$4:$Q$4,0))-INDEX($D25:$Q25,MATCH($B$3,$D$4:$Q$4,0)-2),""),"")</f>
        <v/>
      </c>
      <c r="S25" s="104">
        <f>IFERROR(IF(AND(ISNUMBER(INDEX($D25:$Q25,MATCH($B$3,$D$4:$Q$4,0)+1)),ISNUMBER(INDEX($D25:$Q25,MATCH($B$3,$D$4:$Q$4,0)-1))),INDEX($D25:$Q25,MATCH($B$3,$D$4:$Q$4,0)+1)-INDEX($D25:$Q25,MATCH($B$3,$D$4:$Q$4,0)-1),""),"")</f>
        <v/>
      </c>
      <c r="T25" s="105">
        <f>IFERROR(IF(S25="","",IF(AND(INDEX($D25:$Q25,MATCH($B$3,$D$4:$Q$4,0)+1)=0,INDEX($D25:$Q25,MATCH($B$3,$D$4:$Q$4,0)-1)&gt;0),"WENT TO ZERO",IF(AND(INDEX($D25:$Q25,MATCH($B$3,$D$4:$Q$4,0)-1)=0,INDEX($D25:$Q25,MATCH($B$3,$D$4:$Q$4,0)+1)&gt;0),"NEW ENTRY",IF(INDEX($D25:$Q25,MATCH($B$3,$D$4:$Q$4,0)-1)=0,"absent",IF(S25/INDEX($D25:$Q25,MATCH($B$3,$D$4:$Q$4,0)-1)&lt;-0.2,"FREQUENCY LOSS",IF(AND(R25&lt;-0.1,S25&gt;=0),"WIN",IF(R25&gt;0.1,"LOSS",IF(S25/INDEX($D25:$Q25,MATCH($B$3,$D$4:$Q$4,0)-1)&gt;0.2,"FREQUENCY GAIN","hold")))))))),"")</f>
        <v/>
      </c>
    </row>
    <row r="26" ht="15" customHeight="1" s="65">
      <c r="A26" s="72" t="inlineStr">
        <is>
          <t>community colleges in ohio</t>
        </is>
      </c>
      <c r="B26" s="72" t="inlineStr">
        <is>
          <t>Location — state</t>
        </is>
      </c>
      <c r="C26" s="72" t="inlineStr">
        <is>
          <t>Google AI Overview</t>
        </is>
      </c>
      <c r="D26" s="99" t="n">
        <v>5.02</v>
      </c>
      <c r="E26" s="100" t="n">
        <v>3</v>
      </c>
      <c r="F26" s="101" t="n"/>
      <c r="G26" s="100" t="n">
        <v>0</v>
      </c>
      <c r="H26" s="101" t="n"/>
      <c r="I26" s="102" t="n"/>
      <c r="J26" s="101" t="n"/>
      <c r="K26" s="102" t="n"/>
      <c r="L26" s="101" t="n"/>
      <c r="M26" s="102" t="n"/>
      <c r="N26" s="101" t="n"/>
      <c r="O26" s="102" t="n"/>
      <c r="P26" s="101" t="n"/>
      <c r="Q26" s="102" t="n"/>
      <c r="R26" s="103">
        <f>IFERROR(IF(AND(ISNUMBER(INDEX($D26:$Q26,MATCH($B$3,$D$4:$Q$4,0))),ISNUMBER(INDEX($D26:$Q26,MATCH($B$3,$D$4:$Q$4,0)-2))),INDEX($D26:$Q26,MATCH($B$3,$D$4:$Q$4,0))-INDEX($D26:$Q26,MATCH($B$3,$D$4:$Q$4,0)-2),""),"")</f>
        <v/>
      </c>
      <c r="S26" s="104">
        <f>IFERROR(IF(AND(ISNUMBER(INDEX($D26:$Q26,MATCH($B$3,$D$4:$Q$4,0)+1)),ISNUMBER(INDEX($D26:$Q26,MATCH($B$3,$D$4:$Q$4,0)-1))),INDEX($D26:$Q26,MATCH($B$3,$D$4:$Q$4,0)+1)-INDEX($D26:$Q26,MATCH($B$3,$D$4:$Q$4,0)-1),""),"")</f>
        <v/>
      </c>
      <c r="T26" s="105">
        <f>IFERROR(IF(S26="","",IF(AND(INDEX($D26:$Q26,MATCH($B$3,$D$4:$Q$4,0)+1)=0,INDEX($D26:$Q26,MATCH($B$3,$D$4:$Q$4,0)-1)&gt;0),"WENT TO ZERO",IF(AND(INDEX($D26:$Q26,MATCH($B$3,$D$4:$Q$4,0)-1)=0,INDEX($D26:$Q26,MATCH($B$3,$D$4:$Q$4,0)+1)&gt;0),"NEW ENTRY",IF(INDEX($D26:$Q26,MATCH($B$3,$D$4:$Q$4,0)-1)=0,"absent",IF(S26/INDEX($D26:$Q26,MATCH($B$3,$D$4:$Q$4,0)-1)&lt;-0.2,"FREQUENCY LOSS",IF(AND(R26&lt;-0.1,S26&gt;=0),"WIN",IF(R26&gt;0.1,"LOSS",IF(S26/INDEX($D26:$Q26,MATCH($B$3,$D$4:$Q$4,0)-1)&gt;0.2,"FREQUENCY GAIN","hold")))))))),"")</f>
        <v/>
      </c>
    </row>
    <row r="27" ht="15" customHeight="1" s="65">
      <c r="A27" s="72" t="inlineStr">
        <is>
          <t>community colleges in cedar valley</t>
        </is>
      </c>
      <c r="B27" s="72" t="inlineStr">
        <is>
          <t>Location — city</t>
        </is>
      </c>
      <c r="C27" s="72" t="inlineStr">
        <is>
          <t>ChatGPT</t>
        </is>
      </c>
      <c r="D27" s="99" t="n">
        <v>1</v>
      </c>
      <c r="E27" s="100" t="n">
        <v>31</v>
      </c>
      <c r="F27" s="99" t="n">
        <v>1</v>
      </c>
      <c r="G27" s="100" t="n">
        <v>31</v>
      </c>
      <c r="H27" s="101" t="n"/>
      <c r="I27" s="102" t="n"/>
      <c r="J27" s="101" t="n"/>
      <c r="K27" s="102" t="n"/>
      <c r="L27" s="101" t="n"/>
      <c r="M27" s="102" t="n"/>
      <c r="N27" s="101" t="n"/>
      <c r="O27" s="102" t="n"/>
      <c r="P27" s="101" t="n"/>
      <c r="Q27" s="102" t="n"/>
      <c r="R27" s="103">
        <f>IFERROR(IF(AND(ISNUMBER(INDEX($D27:$Q27,MATCH($B$3,$D$4:$Q$4,0))),ISNUMBER(INDEX($D27:$Q27,MATCH($B$3,$D$4:$Q$4,0)-2))),INDEX($D27:$Q27,MATCH($B$3,$D$4:$Q$4,0))-INDEX($D27:$Q27,MATCH($B$3,$D$4:$Q$4,0)-2),""),"")</f>
        <v/>
      </c>
      <c r="S27" s="104">
        <f>IFERROR(IF(AND(ISNUMBER(INDEX($D27:$Q27,MATCH($B$3,$D$4:$Q$4,0)+1)),ISNUMBER(INDEX($D27:$Q27,MATCH($B$3,$D$4:$Q$4,0)-1))),INDEX($D27:$Q27,MATCH($B$3,$D$4:$Q$4,0)+1)-INDEX($D27:$Q27,MATCH($B$3,$D$4:$Q$4,0)-1),""),"")</f>
        <v/>
      </c>
      <c r="T27" s="105">
        <f>IFERROR(IF(S27="","",IF(AND(INDEX($D27:$Q27,MATCH($B$3,$D$4:$Q$4,0)+1)=0,INDEX($D27:$Q27,MATCH($B$3,$D$4:$Q$4,0)-1)&gt;0),"WENT TO ZERO",IF(AND(INDEX($D27:$Q27,MATCH($B$3,$D$4:$Q$4,0)-1)=0,INDEX($D27:$Q27,MATCH($B$3,$D$4:$Q$4,0)+1)&gt;0),"NEW ENTRY",IF(INDEX($D27:$Q27,MATCH($B$3,$D$4:$Q$4,0)-1)=0,"absent",IF(S27/INDEX($D27:$Q27,MATCH($B$3,$D$4:$Q$4,0)-1)&lt;-0.2,"FREQUENCY LOSS",IF(AND(R27&lt;-0.1,S27&gt;=0),"WIN",IF(R27&gt;0.1,"LOSS",IF(S27/INDEX($D27:$Q27,MATCH($B$3,$D$4:$Q$4,0)-1)&gt;0.2,"FREQUENCY GAIN","hold")))))))),"")</f>
        <v/>
      </c>
    </row>
    <row r="28" ht="15" customHeight="1" s="65">
      <c r="A28" s="72" t="inlineStr">
        <is>
          <t>community colleges in cedar valley</t>
        </is>
      </c>
      <c r="B28" s="72" t="inlineStr">
        <is>
          <t>Location — city</t>
        </is>
      </c>
      <c r="C28" s="72" t="inlineStr">
        <is>
          <t>Gemini</t>
        </is>
      </c>
      <c r="D28" s="99" t="n">
        <v>1</v>
      </c>
      <c r="E28" s="100" t="n">
        <v>29</v>
      </c>
      <c r="F28" s="99" t="n">
        <v>1</v>
      </c>
      <c r="G28" s="100" t="n">
        <v>31</v>
      </c>
      <c r="H28" s="101" t="n"/>
      <c r="I28" s="102" t="n"/>
      <c r="J28" s="101" t="n"/>
      <c r="K28" s="102" t="n"/>
      <c r="L28" s="101" t="n"/>
      <c r="M28" s="102" t="n"/>
      <c r="N28" s="101" t="n"/>
      <c r="O28" s="102" t="n"/>
      <c r="P28" s="101" t="n"/>
      <c r="Q28" s="102" t="n"/>
      <c r="R28" s="103">
        <f>IFERROR(IF(AND(ISNUMBER(INDEX($D28:$Q28,MATCH($B$3,$D$4:$Q$4,0))),ISNUMBER(INDEX($D28:$Q28,MATCH($B$3,$D$4:$Q$4,0)-2))),INDEX($D28:$Q28,MATCH($B$3,$D$4:$Q$4,0))-INDEX($D28:$Q28,MATCH($B$3,$D$4:$Q$4,0)-2),""),"")</f>
        <v/>
      </c>
      <c r="S28" s="104">
        <f>IFERROR(IF(AND(ISNUMBER(INDEX($D28:$Q28,MATCH($B$3,$D$4:$Q$4,0)+1)),ISNUMBER(INDEX($D28:$Q28,MATCH($B$3,$D$4:$Q$4,0)-1))),INDEX($D28:$Q28,MATCH($B$3,$D$4:$Q$4,0)+1)-INDEX($D28:$Q28,MATCH($B$3,$D$4:$Q$4,0)-1),""),"")</f>
        <v/>
      </c>
      <c r="T28" s="105">
        <f>IFERROR(IF(S28="","",IF(AND(INDEX($D28:$Q28,MATCH($B$3,$D$4:$Q$4,0)+1)=0,INDEX($D28:$Q28,MATCH($B$3,$D$4:$Q$4,0)-1)&gt;0),"WENT TO ZERO",IF(AND(INDEX($D28:$Q28,MATCH($B$3,$D$4:$Q$4,0)-1)=0,INDEX($D28:$Q28,MATCH($B$3,$D$4:$Q$4,0)+1)&gt;0),"NEW ENTRY",IF(INDEX($D28:$Q28,MATCH($B$3,$D$4:$Q$4,0)-1)=0,"absent",IF(S28/INDEX($D28:$Q28,MATCH($B$3,$D$4:$Q$4,0)-1)&lt;-0.2,"FREQUENCY LOSS",IF(AND(R28&lt;-0.1,S28&gt;=0),"WIN",IF(R28&gt;0.1,"LOSS",IF(S28/INDEX($D28:$Q28,MATCH($B$3,$D$4:$Q$4,0)-1)&gt;0.2,"FREQUENCY GAIN","hold")))))))),"")</f>
        <v/>
      </c>
    </row>
    <row r="29" ht="15" customHeight="1" s="65">
      <c r="A29" s="72" t="inlineStr">
        <is>
          <t>community colleges in cedar valley</t>
        </is>
      </c>
      <c r="B29" s="72" t="inlineStr">
        <is>
          <t>Location — city</t>
        </is>
      </c>
      <c r="C29" s="72" t="inlineStr">
        <is>
          <t>Google AI Overview</t>
        </is>
      </c>
      <c r="D29" s="99" t="n">
        <v>1</v>
      </c>
      <c r="E29" s="100" t="n">
        <v>1</v>
      </c>
      <c r="F29" s="101" t="n"/>
      <c r="G29" s="102" t="n"/>
      <c r="H29" s="101" t="n"/>
      <c r="I29" s="102" t="n"/>
      <c r="J29" s="101" t="n"/>
      <c r="K29" s="102" t="n"/>
      <c r="L29" s="101" t="n"/>
      <c r="M29" s="102" t="n"/>
      <c r="N29" s="101" t="n"/>
      <c r="O29" s="102" t="n"/>
      <c r="P29" s="101" t="n"/>
      <c r="Q29" s="102" t="n"/>
      <c r="R29" s="103">
        <f>IFERROR(IF(AND(ISNUMBER(INDEX($D29:$Q29,MATCH($B$3,$D$4:$Q$4,0))),ISNUMBER(INDEX($D29:$Q29,MATCH($B$3,$D$4:$Q$4,0)-2))),INDEX($D29:$Q29,MATCH($B$3,$D$4:$Q$4,0))-INDEX($D29:$Q29,MATCH($B$3,$D$4:$Q$4,0)-2),""),"")</f>
        <v/>
      </c>
      <c r="S29" s="104">
        <f>IFERROR(IF(AND(ISNUMBER(INDEX($D29:$Q29,MATCH($B$3,$D$4:$Q$4,0)+1)),ISNUMBER(INDEX($D29:$Q29,MATCH($B$3,$D$4:$Q$4,0)-1))),INDEX($D29:$Q29,MATCH($B$3,$D$4:$Q$4,0)+1)-INDEX($D29:$Q29,MATCH($B$3,$D$4:$Q$4,0)-1),""),"")</f>
        <v/>
      </c>
      <c r="T29" s="105">
        <f>IFERROR(IF(S29="","",IF(AND(INDEX($D29:$Q29,MATCH($B$3,$D$4:$Q$4,0)+1)=0,INDEX($D29:$Q29,MATCH($B$3,$D$4:$Q$4,0)-1)&gt;0),"WENT TO ZERO",IF(AND(INDEX($D29:$Q29,MATCH($B$3,$D$4:$Q$4,0)-1)=0,INDEX($D29:$Q29,MATCH($B$3,$D$4:$Q$4,0)+1)&gt;0),"NEW ENTRY",IF(INDEX($D29:$Q29,MATCH($B$3,$D$4:$Q$4,0)-1)=0,"absent",IF(S29/INDEX($D29:$Q29,MATCH($B$3,$D$4:$Q$4,0)-1)&lt;-0.2,"FREQUENCY LOSS",IF(AND(R29&lt;-0.1,S29&gt;=0),"WIN",IF(R29&gt;0.1,"LOSS",IF(S29/INDEX($D29:$Q29,MATCH($B$3,$D$4:$Q$4,0)-1)&gt;0.2,"FREQUENCY GAIN","hold")))))))),"")</f>
        <v/>
      </c>
    </row>
    <row r="30" ht="15" customHeight="1" s="65">
      <c r="A30" s="72" t="inlineStr">
        <is>
          <t>community colleges that offer surgical technology</t>
        </is>
      </c>
      <c r="B30" s="72" t="inlineStr">
        <is>
          <t>Surgical tech</t>
        </is>
      </c>
      <c r="C30" s="72" t="inlineStr">
        <is>
          <t>ChatGPT</t>
        </is>
      </c>
      <c r="D30" s="99" t="n">
        <v>1.06</v>
      </c>
      <c r="E30" s="100" t="n">
        <v>31</v>
      </c>
      <c r="F30" s="99" t="n">
        <v>1.05</v>
      </c>
      <c r="G30" s="100" t="n">
        <v>31</v>
      </c>
      <c r="H30" s="101" t="n"/>
      <c r="I30" s="102" t="n"/>
      <c r="J30" s="101" t="n"/>
      <c r="K30" s="102" t="n"/>
      <c r="L30" s="101" t="n"/>
      <c r="M30" s="102" t="n"/>
      <c r="N30" s="101" t="n"/>
      <c r="O30" s="102" t="n"/>
      <c r="P30" s="101" t="n"/>
      <c r="Q30" s="102" t="n"/>
      <c r="R30" s="103">
        <f>IFERROR(IF(AND(ISNUMBER(INDEX($D30:$Q30,MATCH($B$3,$D$4:$Q$4,0))),ISNUMBER(INDEX($D30:$Q30,MATCH($B$3,$D$4:$Q$4,0)-2))),INDEX($D30:$Q30,MATCH($B$3,$D$4:$Q$4,0))-INDEX($D30:$Q30,MATCH($B$3,$D$4:$Q$4,0)-2),""),"")</f>
        <v/>
      </c>
      <c r="S30" s="104">
        <f>IFERROR(IF(AND(ISNUMBER(INDEX($D30:$Q30,MATCH($B$3,$D$4:$Q$4,0)+1)),ISNUMBER(INDEX($D30:$Q30,MATCH($B$3,$D$4:$Q$4,0)-1))),INDEX($D30:$Q30,MATCH($B$3,$D$4:$Q$4,0)+1)-INDEX($D30:$Q30,MATCH($B$3,$D$4:$Q$4,0)-1),""),"")</f>
        <v/>
      </c>
      <c r="T30" s="105">
        <f>IFERROR(IF(S30="","",IF(AND(INDEX($D30:$Q30,MATCH($B$3,$D$4:$Q$4,0)+1)=0,INDEX($D30:$Q30,MATCH($B$3,$D$4:$Q$4,0)-1)&gt;0),"WENT TO ZERO",IF(AND(INDEX($D30:$Q30,MATCH($B$3,$D$4:$Q$4,0)-1)=0,INDEX($D30:$Q30,MATCH($B$3,$D$4:$Q$4,0)+1)&gt;0),"NEW ENTRY",IF(INDEX($D30:$Q30,MATCH($B$3,$D$4:$Q$4,0)-1)=0,"absent",IF(S30/INDEX($D30:$Q30,MATCH($B$3,$D$4:$Q$4,0)-1)&lt;-0.2,"FREQUENCY LOSS",IF(AND(R30&lt;-0.1,S30&gt;=0),"WIN",IF(R30&gt;0.1,"LOSS",IF(S30/INDEX($D30:$Q30,MATCH($B$3,$D$4:$Q$4,0)-1)&gt;0.2,"FREQUENCY GAIN","hold")))))))),"")</f>
        <v/>
      </c>
    </row>
    <row r="31" ht="15" customHeight="1" s="65">
      <c r="A31" s="72" t="inlineStr">
        <is>
          <t>community colleges that offer surgical technology</t>
        </is>
      </c>
      <c r="B31" s="72" t="inlineStr">
        <is>
          <t>Surgical tech</t>
        </is>
      </c>
      <c r="C31" s="72" t="inlineStr">
        <is>
          <t>Gemini</t>
        </is>
      </c>
      <c r="D31" s="99" t="n">
        <v>1</v>
      </c>
      <c r="E31" s="100" t="n">
        <v>31</v>
      </c>
      <c r="F31" s="99" t="n">
        <v>1</v>
      </c>
      <c r="G31" s="100" t="n">
        <v>30</v>
      </c>
      <c r="H31" s="101" t="n"/>
      <c r="I31" s="102" t="n"/>
      <c r="J31" s="101" t="n"/>
      <c r="K31" s="102" t="n"/>
      <c r="L31" s="101" t="n"/>
      <c r="M31" s="102" t="n"/>
      <c r="N31" s="101" t="n"/>
      <c r="O31" s="102" t="n"/>
      <c r="P31" s="101" t="n"/>
      <c r="Q31" s="102" t="n"/>
      <c r="R31" s="103">
        <f>IFERROR(IF(AND(ISNUMBER(INDEX($D31:$Q31,MATCH($B$3,$D$4:$Q$4,0))),ISNUMBER(INDEX($D31:$Q31,MATCH($B$3,$D$4:$Q$4,0)-2))),INDEX($D31:$Q31,MATCH($B$3,$D$4:$Q$4,0))-INDEX($D31:$Q31,MATCH($B$3,$D$4:$Q$4,0)-2),""),"")</f>
        <v/>
      </c>
      <c r="S31" s="104">
        <f>IFERROR(IF(AND(ISNUMBER(INDEX($D31:$Q31,MATCH($B$3,$D$4:$Q$4,0)+1)),ISNUMBER(INDEX($D31:$Q31,MATCH($B$3,$D$4:$Q$4,0)-1))),INDEX($D31:$Q31,MATCH($B$3,$D$4:$Q$4,0)+1)-INDEX($D31:$Q31,MATCH($B$3,$D$4:$Q$4,0)-1),""),"")</f>
        <v/>
      </c>
      <c r="T31" s="105">
        <f>IFERROR(IF(S31="","",IF(AND(INDEX($D31:$Q31,MATCH($B$3,$D$4:$Q$4,0)+1)=0,INDEX($D31:$Q31,MATCH($B$3,$D$4:$Q$4,0)-1)&gt;0),"WENT TO ZERO",IF(AND(INDEX($D31:$Q31,MATCH($B$3,$D$4:$Q$4,0)-1)=0,INDEX($D31:$Q31,MATCH($B$3,$D$4:$Q$4,0)+1)&gt;0),"NEW ENTRY",IF(INDEX($D31:$Q31,MATCH($B$3,$D$4:$Q$4,0)-1)=0,"absent",IF(S31/INDEX($D31:$Q31,MATCH($B$3,$D$4:$Q$4,0)-1)&lt;-0.2,"FREQUENCY LOSS",IF(AND(R31&lt;-0.1,S31&gt;=0),"WIN",IF(R31&gt;0.1,"LOSS",IF(S31/INDEX($D31:$Q31,MATCH($B$3,$D$4:$Q$4,0)-1)&gt;0.2,"FREQUENCY GAIN","hold")))))))),"")</f>
        <v/>
      </c>
    </row>
    <row r="32" ht="15" customHeight="1" s="65">
      <c r="A32" s="72" t="inlineStr">
        <is>
          <t>community colleges that offer surgical technology</t>
        </is>
      </c>
      <c r="B32" s="72" t="inlineStr">
        <is>
          <t>Surgical tech</t>
        </is>
      </c>
      <c r="C32" s="72" t="inlineStr">
        <is>
          <t>Google AI Overview</t>
        </is>
      </c>
      <c r="D32" s="99" t="n">
        <v>1</v>
      </c>
      <c r="E32" s="100" t="n">
        <v>21</v>
      </c>
      <c r="F32" s="99" t="n">
        <v>1.21</v>
      </c>
      <c r="G32" s="100" t="n">
        <v>31</v>
      </c>
      <c r="H32" s="101" t="n"/>
      <c r="I32" s="102" t="n"/>
      <c r="J32" s="101" t="n"/>
      <c r="K32" s="102" t="n"/>
      <c r="L32" s="101" t="n"/>
      <c r="M32" s="102" t="n"/>
      <c r="N32" s="101" t="n"/>
      <c r="O32" s="102" t="n"/>
      <c r="P32" s="101" t="n"/>
      <c r="Q32" s="102" t="n"/>
      <c r="R32" s="103">
        <f>IFERROR(IF(AND(ISNUMBER(INDEX($D32:$Q32,MATCH($B$3,$D$4:$Q$4,0))),ISNUMBER(INDEX($D32:$Q32,MATCH($B$3,$D$4:$Q$4,0)-2))),INDEX($D32:$Q32,MATCH($B$3,$D$4:$Q$4,0))-INDEX($D32:$Q32,MATCH($B$3,$D$4:$Q$4,0)-2),""),"")</f>
        <v/>
      </c>
      <c r="S32" s="104">
        <f>IFERROR(IF(AND(ISNUMBER(INDEX($D32:$Q32,MATCH($B$3,$D$4:$Q$4,0)+1)),ISNUMBER(INDEX($D32:$Q32,MATCH($B$3,$D$4:$Q$4,0)-1))),INDEX($D32:$Q32,MATCH($B$3,$D$4:$Q$4,0)+1)-INDEX($D32:$Q32,MATCH($B$3,$D$4:$Q$4,0)-1),""),"")</f>
        <v/>
      </c>
      <c r="T32" s="105">
        <f>IFERROR(IF(S32="","",IF(AND(INDEX($D32:$Q32,MATCH($B$3,$D$4:$Q$4,0)+1)=0,INDEX($D32:$Q32,MATCH($B$3,$D$4:$Q$4,0)-1)&gt;0),"WENT TO ZERO",IF(AND(INDEX($D32:$Q32,MATCH($B$3,$D$4:$Q$4,0)-1)=0,INDEX($D32:$Q32,MATCH($B$3,$D$4:$Q$4,0)+1)&gt;0),"NEW ENTRY",IF(INDEX($D32:$Q32,MATCH($B$3,$D$4:$Q$4,0)-1)=0,"absent",IF(S32/INDEX($D32:$Q32,MATCH($B$3,$D$4:$Q$4,0)-1)&lt;-0.2,"FREQUENCY LOSS",IF(AND(R32&lt;-0.1,S32&gt;=0),"WIN",IF(R32&gt;0.1,"LOSS",IF(S32/INDEX($D32:$Q32,MATCH($B$3,$D$4:$Q$4,0)-1)&gt;0.2,"FREQUENCY GAIN","hold")))))))),"")</f>
        <v/>
      </c>
    </row>
    <row r="33" ht="15" customHeight="1" s="65">
      <c r="A33" s="72" t="inlineStr">
        <is>
          <t>veterinary technician degree</t>
        </is>
      </c>
      <c r="B33" s="72" t="inlineStr">
        <is>
          <t>Vet tech</t>
        </is>
      </c>
      <c r="C33" s="72" t="inlineStr">
        <is>
          <t>ChatGPT</t>
        </is>
      </c>
      <c r="D33" s="99" t="n">
        <v>1</v>
      </c>
      <c r="E33" s="100" t="n">
        <v>22</v>
      </c>
      <c r="F33" s="99" t="n">
        <v>1</v>
      </c>
      <c r="G33" s="100" t="n">
        <v>26</v>
      </c>
      <c r="H33" s="101" t="n"/>
      <c r="I33" s="102" t="n"/>
      <c r="J33" s="101" t="n"/>
      <c r="K33" s="102" t="n"/>
      <c r="L33" s="101" t="n"/>
      <c r="M33" s="102" t="n"/>
      <c r="N33" s="101" t="n"/>
      <c r="O33" s="102" t="n"/>
      <c r="P33" s="101" t="n"/>
      <c r="Q33" s="102" t="n"/>
      <c r="R33" s="103">
        <f>IFERROR(IF(AND(ISNUMBER(INDEX($D33:$Q33,MATCH($B$3,$D$4:$Q$4,0))),ISNUMBER(INDEX($D33:$Q33,MATCH($B$3,$D$4:$Q$4,0)-2))),INDEX($D33:$Q33,MATCH($B$3,$D$4:$Q$4,0))-INDEX($D33:$Q33,MATCH($B$3,$D$4:$Q$4,0)-2),""),"")</f>
        <v/>
      </c>
      <c r="S33" s="104">
        <f>IFERROR(IF(AND(ISNUMBER(INDEX($D33:$Q33,MATCH($B$3,$D$4:$Q$4,0)+1)),ISNUMBER(INDEX($D33:$Q33,MATCH($B$3,$D$4:$Q$4,0)-1))),INDEX($D33:$Q33,MATCH($B$3,$D$4:$Q$4,0)+1)-INDEX($D33:$Q33,MATCH($B$3,$D$4:$Q$4,0)-1),""),"")</f>
        <v/>
      </c>
      <c r="T33" s="105">
        <f>IFERROR(IF(S33="","",IF(AND(INDEX($D33:$Q33,MATCH($B$3,$D$4:$Q$4,0)+1)=0,INDEX($D33:$Q33,MATCH($B$3,$D$4:$Q$4,0)-1)&gt;0),"WENT TO ZERO",IF(AND(INDEX($D33:$Q33,MATCH($B$3,$D$4:$Q$4,0)-1)=0,INDEX($D33:$Q33,MATCH($B$3,$D$4:$Q$4,0)+1)&gt;0),"NEW ENTRY",IF(INDEX($D33:$Q33,MATCH($B$3,$D$4:$Q$4,0)-1)=0,"absent",IF(S33/INDEX($D33:$Q33,MATCH($B$3,$D$4:$Q$4,0)-1)&lt;-0.2,"FREQUENCY LOSS",IF(AND(R33&lt;-0.1,S33&gt;=0),"WIN",IF(R33&gt;0.1,"LOSS",IF(S33/INDEX($D33:$Q33,MATCH($B$3,$D$4:$Q$4,0)-1)&gt;0.2,"FREQUENCY GAIN","hold")))))))),"")</f>
        <v/>
      </c>
    </row>
    <row r="34" ht="15" customHeight="1" s="65">
      <c r="A34" s="72" t="inlineStr">
        <is>
          <t>veterinary technician degree</t>
        </is>
      </c>
      <c r="B34" s="72" t="inlineStr">
        <is>
          <t>Vet tech</t>
        </is>
      </c>
      <c r="C34" s="72" t="inlineStr">
        <is>
          <t>Gemini</t>
        </is>
      </c>
      <c r="D34" s="99" t="n">
        <v>1.05</v>
      </c>
      <c r="E34" s="100" t="n">
        <v>30</v>
      </c>
      <c r="F34" s="99" t="n">
        <v>1</v>
      </c>
      <c r="G34" s="100" t="n">
        <v>29</v>
      </c>
      <c r="H34" s="101" t="n"/>
      <c r="I34" s="102" t="n"/>
      <c r="J34" s="101" t="n"/>
      <c r="K34" s="102" t="n"/>
      <c r="L34" s="101" t="n"/>
      <c r="M34" s="102" t="n"/>
      <c r="N34" s="101" t="n"/>
      <c r="O34" s="102" t="n"/>
      <c r="P34" s="101" t="n"/>
      <c r="Q34" s="102" t="n"/>
      <c r="R34" s="103">
        <f>IFERROR(IF(AND(ISNUMBER(INDEX($D34:$Q34,MATCH($B$3,$D$4:$Q$4,0))),ISNUMBER(INDEX($D34:$Q34,MATCH($B$3,$D$4:$Q$4,0)-2))),INDEX($D34:$Q34,MATCH($B$3,$D$4:$Q$4,0))-INDEX($D34:$Q34,MATCH($B$3,$D$4:$Q$4,0)-2),""),"")</f>
        <v/>
      </c>
      <c r="S34" s="104">
        <f>IFERROR(IF(AND(ISNUMBER(INDEX($D34:$Q34,MATCH($B$3,$D$4:$Q$4,0)+1)),ISNUMBER(INDEX($D34:$Q34,MATCH($B$3,$D$4:$Q$4,0)-1))),INDEX($D34:$Q34,MATCH($B$3,$D$4:$Q$4,0)+1)-INDEX($D34:$Q34,MATCH($B$3,$D$4:$Q$4,0)-1),""),"")</f>
        <v/>
      </c>
      <c r="T34" s="105">
        <f>IFERROR(IF(S34="","",IF(AND(INDEX($D34:$Q34,MATCH($B$3,$D$4:$Q$4,0)+1)=0,INDEX($D34:$Q34,MATCH($B$3,$D$4:$Q$4,0)-1)&gt;0),"WENT TO ZERO",IF(AND(INDEX($D34:$Q34,MATCH($B$3,$D$4:$Q$4,0)-1)=0,INDEX($D34:$Q34,MATCH($B$3,$D$4:$Q$4,0)+1)&gt;0),"NEW ENTRY",IF(INDEX($D34:$Q34,MATCH($B$3,$D$4:$Q$4,0)-1)=0,"absent",IF(S34/INDEX($D34:$Q34,MATCH($B$3,$D$4:$Q$4,0)-1)&lt;-0.2,"FREQUENCY LOSS",IF(AND(R34&lt;-0.1,S34&gt;=0),"WIN",IF(R34&gt;0.1,"LOSS",IF(S34/INDEX($D34:$Q34,MATCH($B$3,$D$4:$Q$4,0)-1)&gt;0.2,"FREQUENCY GAIN","hold")))))))),"")</f>
        <v/>
      </c>
    </row>
    <row r="35" ht="15" customHeight="1" s="65">
      <c r="A35" s="72" t="inlineStr">
        <is>
          <t>veterinary technician degree</t>
        </is>
      </c>
      <c r="B35" s="72" t="inlineStr">
        <is>
          <t>Vet tech</t>
        </is>
      </c>
      <c r="C35" s="72" t="inlineStr">
        <is>
          <t>Google AI Overview</t>
        </is>
      </c>
      <c r="D35" s="99" t="n">
        <v>1.33</v>
      </c>
      <c r="E35" s="100" t="n">
        <v>26</v>
      </c>
      <c r="F35" s="99" t="n">
        <v>1</v>
      </c>
      <c r="G35" s="100" t="n">
        <v>30</v>
      </c>
      <c r="H35" s="101" t="n"/>
      <c r="I35" s="102" t="n"/>
      <c r="J35" s="101" t="n"/>
      <c r="K35" s="102" t="n"/>
      <c r="L35" s="101" t="n"/>
      <c r="M35" s="102" t="n"/>
      <c r="N35" s="101" t="n"/>
      <c r="O35" s="102" t="n"/>
      <c r="P35" s="101" t="n"/>
      <c r="Q35" s="102" t="n"/>
      <c r="R35" s="103">
        <f>IFERROR(IF(AND(ISNUMBER(INDEX($D35:$Q35,MATCH($B$3,$D$4:$Q$4,0))),ISNUMBER(INDEX($D35:$Q35,MATCH($B$3,$D$4:$Q$4,0)-2))),INDEX($D35:$Q35,MATCH($B$3,$D$4:$Q$4,0))-INDEX($D35:$Q35,MATCH($B$3,$D$4:$Q$4,0)-2),""),"")</f>
        <v/>
      </c>
      <c r="S35" s="104">
        <f>IFERROR(IF(AND(ISNUMBER(INDEX($D35:$Q35,MATCH($B$3,$D$4:$Q$4,0)+1)),ISNUMBER(INDEX($D35:$Q35,MATCH($B$3,$D$4:$Q$4,0)-1))),INDEX($D35:$Q35,MATCH($B$3,$D$4:$Q$4,0)+1)-INDEX($D35:$Q35,MATCH($B$3,$D$4:$Q$4,0)-1),""),"")</f>
        <v/>
      </c>
      <c r="T35" s="105">
        <f>IFERROR(IF(S35="","",IF(AND(INDEX($D35:$Q35,MATCH($B$3,$D$4:$Q$4,0)+1)=0,INDEX($D35:$Q35,MATCH($B$3,$D$4:$Q$4,0)-1)&gt;0),"WENT TO ZERO",IF(AND(INDEX($D35:$Q35,MATCH($B$3,$D$4:$Q$4,0)-1)=0,INDEX($D35:$Q35,MATCH($B$3,$D$4:$Q$4,0)+1)&gt;0),"NEW ENTRY",IF(INDEX($D35:$Q35,MATCH($B$3,$D$4:$Q$4,0)-1)=0,"absent",IF(S35/INDEX($D35:$Q35,MATCH($B$3,$D$4:$Q$4,0)-1)&lt;-0.2,"FREQUENCY LOSS",IF(AND(R35&lt;-0.1,S35&gt;=0),"WIN",IF(R35&gt;0.1,"LOSS",IF(S35/INDEX($D35:$Q35,MATCH($B$3,$D$4:$Q$4,0)-1)&gt;0.2,"FREQUENCY GAIN","hold")))))))),"")</f>
        <v/>
      </c>
    </row>
    <row r="36" ht="15" customHeight="1" s="65">
      <c r="A36" s="72" t="inlineStr">
        <is>
          <t>pharmacy technician program</t>
        </is>
      </c>
      <c r="B36" s="72" t="inlineStr">
        <is>
          <t>Pharmacy tech</t>
        </is>
      </c>
      <c r="C36" s="72" t="inlineStr">
        <is>
          <t>ChatGPT</t>
        </is>
      </c>
      <c r="D36" s="99" t="n">
        <v>1.14</v>
      </c>
      <c r="E36" s="100" t="n">
        <v>28</v>
      </c>
      <c r="F36" s="99" t="n">
        <v>1</v>
      </c>
      <c r="G36" s="100" t="n">
        <v>31</v>
      </c>
      <c r="H36" s="101" t="n"/>
      <c r="I36" s="102" t="n"/>
      <c r="J36" s="101" t="n"/>
      <c r="K36" s="102" t="n"/>
      <c r="L36" s="101" t="n"/>
      <c r="M36" s="102" t="n"/>
      <c r="N36" s="101" t="n"/>
      <c r="O36" s="102" t="n"/>
      <c r="P36" s="101" t="n"/>
      <c r="Q36" s="102" t="n"/>
      <c r="R36" s="103">
        <f>IFERROR(IF(AND(ISNUMBER(INDEX($D36:$Q36,MATCH($B$3,$D$4:$Q$4,0))),ISNUMBER(INDEX($D36:$Q36,MATCH($B$3,$D$4:$Q$4,0)-2))),INDEX($D36:$Q36,MATCH($B$3,$D$4:$Q$4,0))-INDEX($D36:$Q36,MATCH($B$3,$D$4:$Q$4,0)-2),""),"")</f>
        <v/>
      </c>
      <c r="S36" s="104">
        <f>IFERROR(IF(AND(ISNUMBER(INDEX($D36:$Q36,MATCH($B$3,$D$4:$Q$4,0)+1)),ISNUMBER(INDEX($D36:$Q36,MATCH($B$3,$D$4:$Q$4,0)-1))),INDEX($D36:$Q36,MATCH($B$3,$D$4:$Q$4,0)+1)-INDEX($D36:$Q36,MATCH($B$3,$D$4:$Q$4,0)-1),""),"")</f>
        <v/>
      </c>
      <c r="T36" s="105">
        <f>IFERROR(IF(S36="","",IF(AND(INDEX($D36:$Q36,MATCH($B$3,$D$4:$Q$4,0)+1)=0,INDEX($D36:$Q36,MATCH($B$3,$D$4:$Q$4,0)-1)&gt;0),"WENT TO ZERO",IF(AND(INDEX($D36:$Q36,MATCH($B$3,$D$4:$Q$4,0)-1)=0,INDEX($D36:$Q36,MATCH($B$3,$D$4:$Q$4,0)+1)&gt;0),"NEW ENTRY",IF(INDEX($D36:$Q36,MATCH($B$3,$D$4:$Q$4,0)-1)=0,"absent",IF(S36/INDEX($D36:$Q36,MATCH($B$3,$D$4:$Q$4,0)-1)&lt;-0.2,"FREQUENCY LOSS",IF(AND(R36&lt;-0.1,S36&gt;=0),"WIN",IF(R36&gt;0.1,"LOSS",IF(S36/INDEX($D36:$Q36,MATCH($B$3,$D$4:$Q$4,0)-1)&gt;0.2,"FREQUENCY GAIN","hold")))))))),"")</f>
        <v/>
      </c>
    </row>
    <row r="37" ht="15" customHeight="1" s="65">
      <c r="A37" s="72" t="inlineStr">
        <is>
          <t>pharmacy technician program</t>
        </is>
      </c>
      <c r="B37" s="72" t="inlineStr">
        <is>
          <t>Pharmacy tech</t>
        </is>
      </c>
      <c r="C37" s="72" t="inlineStr">
        <is>
          <t>Gemini</t>
        </is>
      </c>
      <c r="D37" s="99" t="n">
        <v>1</v>
      </c>
      <c r="E37" s="100" t="n">
        <v>30</v>
      </c>
      <c r="F37" s="99" t="n">
        <v>1</v>
      </c>
      <c r="G37" s="100" t="n">
        <v>29</v>
      </c>
      <c r="H37" s="101" t="n"/>
      <c r="I37" s="102" t="n"/>
      <c r="J37" s="101" t="n"/>
      <c r="K37" s="102" t="n"/>
      <c r="L37" s="101" t="n"/>
      <c r="M37" s="102" t="n"/>
      <c r="N37" s="101" t="n"/>
      <c r="O37" s="102" t="n"/>
      <c r="P37" s="101" t="n"/>
      <c r="Q37" s="102" t="n"/>
      <c r="R37" s="103">
        <f>IFERROR(IF(AND(ISNUMBER(INDEX($D37:$Q37,MATCH($B$3,$D$4:$Q$4,0))),ISNUMBER(INDEX($D37:$Q37,MATCH($B$3,$D$4:$Q$4,0)-2))),INDEX($D37:$Q37,MATCH($B$3,$D$4:$Q$4,0))-INDEX($D37:$Q37,MATCH($B$3,$D$4:$Q$4,0)-2),""),"")</f>
        <v/>
      </c>
      <c r="S37" s="104">
        <f>IFERROR(IF(AND(ISNUMBER(INDEX($D37:$Q37,MATCH($B$3,$D$4:$Q$4,0)+1)),ISNUMBER(INDEX($D37:$Q37,MATCH($B$3,$D$4:$Q$4,0)-1))),INDEX($D37:$Q37,MATCH($B$3,$D$4:$Q$4,0)+1)-INDEX($D37:$Q37,MATCH($B$3,$D$4:$Q$4,0)-1),""),"")</f>
        <v/>
      </c>
      <c r="T37" s="105">
        <f>IFERROR(IF(S37="","",IF(AND(INDEX($D37:$Q37,MATCH($B$3,$D$4:$Q$4,0)+1)=0,INDEX($D37:$Q37,MATCH($B$3,$D$4:$Q$4,0)-1)&gt;0),"WENT TO ZERO",IF(AND(INDEX($D37:$Q37,MATCH($B$3,$D$4:$Q$4,0)-1)=0,INDEX($D37:$Q37,MATCH($B$3,$D$4:$Q$4,0)+1)&gt;0),"NEW ENTRY",IF(INDEX($D37:$Q37,MATCH($B$3,$D$4:$Q$4,0)-1)=0,"absent",IF(S37/INDEX($D37:$Q37,MATCH($B$3,$D$4:$Q$4,0)-1)&lt;-0.2,"FREQUENCY LOSS",IF(AND(R37&lt;-0.1,S37&gt;=0),"WIN",IF(R37&gt;0.1,"LOSS",IF(S37/INDEX($D37:$Q37,MATCH($B$3,$D$4:$Q$4,0)-1)&gt;0.2,"FREQUENCY GAIN","hold")))))))),"")</f>
        <v/>
      </c>
    </row>
    <row r="38" ht="15" customHeight="1" s="65">
      <c r="A38" s="72" t="inlineStr">
        <is>
          <t>pharmacy technician program</t>
        </is>
      </c>
      <c r="B38" s="72" t="inlineStr">
        <is>
          <t>Pharmacy tech</t>
        </is>
      </c>
      <c r="C38" s="72" t="inlineStr">
        <is>
          <t>Google AI Overview</t>
        </is>
      </c>
      <c r="D38" s="101" t="n"/>
      <c r="E38" s="100" t="n">
        <v>0</v>
      </c>
      <c r="F38" s="101" t="n"/>
      <c r="G38" s="100" t="n">
        <v>0</v>
      </c>
      <c r="H38" s="101" t="n"/>
      <c r="I38" s="102" t="n"/>
      <c r="J38" s="101" t="n"/>
      <c r="K38" s="102" t="n"/>
      <c r="L38" s="101" t="n"/>
      <c r="M38" s="102" t="n"/>
      <c r="N38" s="101" t="n"/>
      <c r="O38" s="102" t="n"/>
      <c r="P38" s="101" t="n"/>
      <c r="Q38" s="102" t="n"/>
      <c r="R38" s="103">
        <f>IFERROR(IF(AND(ISNUMBER(INDEX($D38:$Q38,MATCH($B$3,$D$4:$Q$4,0))),ISNUMBER(INDEX($D38:$Q38,MATCH($B$3,$D$4:$Q$4,0)-2))),INDEX($D38:$Q38,MATCH($B$3,$D$4:$Q$4,0))-INDEX($D38:$Q38,MATCH($B$3,$D$4:$Q$4,0)-2),""),"")</f>
        <v/>
      </c>
      <c r="S38" s="104">
        <f>IFERROR(IF(AND(ISNUMBER(INDEX($D38:$Q38,MATCH($B$3,$D$4:$Q$4,0)+1)),ISNUMBER(INDEX($D38:$Q38,MATCH($B$3,$D$4:$Q$4,0)-1))),INDEX($D38:$Q38,MATCH($B$3,$D$4:$Q$4,0)+1)-INDEX($D38:$Q38,MATCH($B$3,$D$4:$Q$4,0)-1),""),"")</f>
        <v/>
      </c>
      <c r="T38" s="105">
        <f>IFERROR(IF(S38="","",IF(AND(INDEX($D38:$Q38,MATCH($B$3,$D$4:$Q$4,0)+1)=0,INDEX($D38:$Q38,MATCH($B$3,$D$4:$Q$4,0)-1)&gt;0),"WENT TO ZERO",IF(AND(INDEX($D38:$Q38,MATCH($B$3,$D$4:$Q$4,0)-1)=0,INDEX($D38:$Q38,MATCH($B$3,$D$4:$Q$4,0)+1)&gt;0),"NEW ENTRY",IF(INDEX($D38:$Q38,MATCH($B$3,$D$4:$Q$4,0)-1)=0,"absent",IF(S38/INDEX($D38:$Q38,MATCH($B$3,$D$4:$Q$4,0)-1)&lt;-0.2,"FREQUENCY LOSS",IF(AND(R38&lt;-0.1,S38&gt;=0),"WIN",IF(R38&gt;0.1,"LOSS",IF(S38/INDEX($D38:$Q38,MATCH($B$3,$D$4:$Q$4,0)-1)&gt;0.2,"FREQUENCY GAIN","hold")))))))),"")</f>
        <v/>
      </c>
    </row>
    <row r="39" ht="15" customHeight="1" s="65">
      <c r="A39" s="72" t="inlineStr">
        <is>
          <t>lpn programs near me</t>
        </is>
      </c>
      <c r="B39" s="72" t="inlineStr">
        <is>
          <t>Nursing — LPN</t>
        </is>
      </c>
      <c r="C39" s="72" t="inlineStr">
        <is>
          <t>ChatGPT</t>
        </is>
      </c>
      <c r="D39" s="99" t="n">
        <v>1</v>
      </c>
      <c r="E39" s="100" t="n">
        <v>31</v>
      </c>
      <c r="F39" s="99" t="n">
        <v>1.04</v>
      </c>
      <c r="G39" s="100" t="n">
        <v>30</v>
      </c>
      <c r="H39" s="101" t="n"/>
      <c r="I39" s="102" t="n"/>
      <c r="J39" s="101" t="n"/>
      <c r="K39" s="102" t="n"/>
      <c r="L39" s="101" t="n"/>
      <c r="M39" s="102" t="n"/>
      <c r="N39" s="101" t="n"/>
      <c r="O39" s="102" t="n"/>
      <c r="P39" s="101" t="n"/>
      <c r="Q39" s="102" t="n"/>
      <c r="R39" s="103">
        <f>IFERROR(IF(AND(ISNUMBER(INDEX($D39:$Q39,MATCH($B$3,$D$4:$Q$4,0))),ISNUMBER(INDEX($D39:$Q39,MATCH($B$3,$D$4:$Q$4,0)-2))),INDEX($D39:$Q39,MATCH($B$3,$D$4:$Q$4,0))-INDEX($D39:$Q39,MATCH($B$3,$D$4:$Q$4,0)-2),""),"")</f>
        <v/>
      </c>
      <c r="S39" s="104">
        <f>IFERROR(IF(AND(ISNUMBER(INDEX($D39:$Q39,MATCH($B$3,$D$4:$Q$4,0)+1)),ISNUMBER(INDEX($D39:$Q39,MATCH($B$3,$D$4:$Q$4,0)-1))),INDEX($D39:$Q39,MATCH($B$3,$D$4:$Q$4,0)+1)-INDEX($D39:$Q39,MATCH($B$3,$D$4:$Q$4,0)-1),""),"")</f>
        <v/>
      </c>
      <c r="T39" s="105">
        <f>IFERROR(IF(S39="","",IF(AND(INDEX($D39:$Q39,MATCH($B$3,$D$4:$Q$4,0)+1)=0,INDEX($D39:$Q39,MATCH($B$3,$D$4:$Q$4,0)-1)&gt;0),"WENT TO ZERO",IF(AND(INDEX($D39:$Q39,MATCH($B$3,$D$4:$Q$4,0)-1)=0,INDEX($D39:$Q39,MATCH($B$3,$D$4:$Q$4,0)+1)&gt;0),"NEW ENTRY",IF(INDEX($D39:$Q39,MATCH($B$3,$D$4:$Q$4,0)-1)=0,"absent",IF(S39/INDEX($D39:$Q39,MATCH($B$3,$D$4:$Q$4,0)-1)&lt;-0.2,"FREQUENCY LOSS",IF(AND(R39&lt;-0.1,S39&gt;=0),"WIN",IF(R39&gt;0.1,"LOSS",IF(S39/INDEX($D39:$Q39,MATCH($B$3,$D$4:$Q$4,0)-1)&gt;0.2,"FREQUENCY GAIN","hold")))))))),"")</f>
        <v/>
      </c>
    </row>
    <row r="40" ht="15" customHeight="1" s="65">
      <c r="A40" s="72" t="inlineStr">
        <is>
          <t>lpn programs near me</t>
        </is>
      </c>
      <c r="B40" s="72" t="inlineStr">
        <is>
          <t>Nursing — LPN</t>
        </is>
      </c>
      <c r="C40" s="72" t="inlineStr">
        <is>
          <t>Gemini</t>
        </is>
      </c>
      <c r="D40" s="99" t="n">
        <v>1</v>
      </c>
      <c r="E40" s="100" t="n">
        <v>30</v>
      </c>
      <c r="F40" s="99" t="n">
        <v>1.06</v>
      </c>
      <c r="G40" s="100" t="n">
        <v>30</v>
      </c>
      <c r="H40" s="101" t="n"/>
      <c r="I40" s="102" t="n"/>
      <c r="J40" s="101" t="n"/>
      <c r="K40" s="102" t="n"/>
      <c r="L40" s="101" t="n"/>
      <c r="M40" s="102" t="n"/>
      <c r="N40" s="101" t="n"/>
      <c r="O40" s="102" t="n"/>
      <c r="P40" s="101" t="n"/>
      <c r="Q40" s="102" t="n"/>
      <c r="R40" s="103">
        <f>IFERROR(IF(AND(ISNUMBER(INDEX($D40:$Q40,MATCH($B$3,$D$4:$Q$4,0))),ISNUMBER(INDEX($D40:$Q40,MATCH($B$3,$D$4:$Q$4,0)-2))),INDEX($D40:$Q40,MATCH($B$3,$D$4:$Q$4,0))-INDEX($D40:$Q40,MATCH($B$3,$D$4:$Q$4,0)-2),""),"")</f>
        <v/>
      </c>
      <c r="S40" s="104">
        <f>IFERROR(IF(AND(ISNUMBER(INDEX($D40:$Q40,MATCH($B$3,$D$4:$Q$4,0)+1)),ISNUMBER(INDEX($D40:$Q40,MATCH($B$3,$D$4:$Q$4,0)-1))),INDEX($D40:$Q40,MATCH($B$3,$D$4:$Q$4,0)+1)-INDEX($D40:$Q40,MATCH($B$3,$D$4:$Q$4,0)-1),""),"")</f>
        <v/>
      </c>
      <c r="T40" s="105">
        <f>IFERROR(IF(S40="","",IF(AND(INDEX($D40:$Q40,MATCH($B$3,$D$4:$Q$4,0)+1)=0,INDEX($D40:$Q40,MATCH($B$3,$D$4:$Q$4,0)-1)&gt;0),"WENT TO ZERO",IF(AND(INDEX($D40:$Q40,MATCH($B$3,$D$4:$Q$4,0)-1)=0,INDEX($D40:$Q40,MATCH($B$3,$D$4:$Q$4,0)+1)&gt;0),"NEW ENTRY",IF(INDEX($D40:$Q40,MATCH($B$3,$D$4:$Q$4,0)-1)=0,"absent",IF(S40/INDEX($D40:$Q40,MATCH($B$3,$D$4:$Q$4,0)-1)&lt;-0.2,"FREQUENCY LOSS",IF(AND(R40&lt;-0.1,S40&gt;=0),"WIN",IF(R40&gt;0.1,"LOSS",IF(S40/INDEX($D40:$Q40,MATCH($B$3,$D$4:$Q$4,0)-1)&gt;0.2,"FREQUENCY GAIN","hold")))))))),"")</f>
        <v/>
      </c>
    </row>
    <row r="41" ht="15" customHeight="1" s="65">
      <c r="A41" s="72" t="inlineStr">
        <is>
          <t>lpn programs near me</t>
        </is>
      </c>
      <c r="B41" s="72" t="inlineStr">
        <is>
          <t>Nursing — LPN</t>
        </is>
      </c>
      <c r="C41" s="72" t="inlineStr">
        <is>
          <t>Google AI Overview</t>
        </is>
      </c>
      <c r="D41" s="99" t="n">
        <v>1</v>
      </c>
      <c r="E41" s="100" t="n">
        <v>13</v>
      </c>
      <c r="F41" s="99" t="n">
        <v>1</v>
      </c>
      <c r="G41" s="100" t="n">
        <v>23</v>
      </c>
      <c r="H41" s="101" t="n"/>
      <c r="I41" s="102" t="n"/>
      <c r="J41" s="101" t="n"/>
      <c r="K41" s="102" t="n"/>
      <c r="L41" s="101" t="n"/>
      <c r="M41" s="102" t="n"/>
      <c r="N41" s="101" t="n"/>
      <c r="O41" s="102" t="n"/>
      <c r="P41" s="101" t="n"/>
      <c r="Q41" s="102" t="n"/>
      <c r="R41" s="103">
        <f>IFERROR(IF(AND(ISNUMBER(INDEX($D41:$Q41,MATCH($B$3,$D$4:$Q$4,0))),ISNUMBER(INDEX($D41:$Q41,MATCH($B$3,$D$4:$Q$4,0)-2))),INDEX($D41:$Q41,MATCH($B$3,$D$4:$Q$4,0))-INDEX($D41:$Q41,MATCH($B$3,$D$4:$Q$4,0)-2),""),"")</f>
        <v/>
      </c>
      <c r="S41" s="104">
        <f>IFERROR(IF(AND(ISNUMBER(INDEX($D41:$Q41,MATCH($B$3,$D$4:$Q$4,0)+1)),ISNUMBER(INDEX($D41:$Q41,MATCH($B$3,$D$4:$Q$4,0)-1))),INDEX($D41:$Q41,MATCH($B$3,$D$4:$Q$4,0)+1)-INDEX($D41:$Q41,MATCH($B$3,$D$4:$Q$4,0)-1),""),"")</f>
        <v/>
      </c>
      <c r="T41" s="105">
        <f>IFERROR(IF(S41="","",IF(AND(INDEX($D41:$Q41,MATCH($B$3,$D$4:$Q$4,0)+1)=0,INDEX($D41:$Q41,MATCH($B$3,$D$4:$Q$4,0)-1)&gt;0),"WENT TO ZERO",IF(AND(INDEX($D41:$Q41,MATCH($B$3,$D$4:$Q$4,0)-1)=0,INDEX($D41:$Q41,MATCH($B$3,$D$4:$Q$4,0)+1)&gt;0),"NEW ENTRY",IF(INDEX($D41:$Q41,MATCH($B$3,$D$4:$Q$4,0)-1)=0,"absent",IF(S41/INDEX($D41:$Q41,MATCH($B$3,$D$4:$Q$4,0)-1)&lt;-0.2,"FREQUENCY LOSS",IF(AND(R41&lt;-0.1,S41&gt;=0),"WIN",IF(R41&gt;0.1,"LOSS",IF(S41/INDEX($D41:$Q41,MATCH($B$3,$D$4:$Q$4,0)-1)&gt;0.2,"FREQUENCY GAIN","hold")))))))),"")</f>
        <v/>
      </c>
    </row>
    <row r="42" ht="15" customHeight="1" s="65">
      <c r="A42" s="72" t="inlineStr">
        <is>
          <t>medical coding classes online</t>
        </is>
      </c>
      <c r="B42" s="72" t="inlineStr">
        <is>
          <t>ONLINE — medical coding</t>
        </is>
      </c>
      <c r="C42" s="72" t="inlineStr">
        <is>
          <t>ChatGPT</t>
        </is>
      </c>
      <c r="D42" s="99" t="n">
        <v>2.86</v>
      </c>
      <c r="E42" s="100" t="n">
        <v>13</v>
      </c>
      <c r="F42" s="99" t="n">
        <v>1</v>
      </c>
      <c r="G42" s="100" t="n">
        <v>3</v>
      </c>
      <c r="H42" s="101" t="n"/>
      <c r="I42" s="102" t="n"/>
      <c r="J42" s="101" t="n"/>
      <c r="K42" s="102" t="n"/>
      <c r="L42" s="101" t="n"/>
      <c r="M42" s="102" t="n"/>
      <c r="N42" s="101" t="n"/>
      <c r="O42" s="102" t="n"/>
      <c r="P42" s="101" t="n"/>
      <c r="Q42" s="102" t="n"/>
      <c r="R42" s="103">
        <f>IFERROR(IF(AND(ISNUMBER(INDEX($D42:$Q42,MATCH($B$3,$D$4:$Q$4,0))),ISNUMBER(INDEX($D42:$Q42,MATCH($B$3,$D$4:$Q$4,0)-2))),INDEX($D42:$Q42,MATCH($B$3,$D$4:$Q$4,0))-INDEX($D42:$Q42,MATCH($B$3,$D$4:$Q$4,0)-2),""),"")</f>
        <v/>
      </c>
      <c r="S42" s="104">
        <f>IFERROR(IF(AND(ISNUMBER(INDEX($D42:$Q42,MATCH($B$3,$D$4:$Q$4,0)+1)),ISNUMBER(INDEX($D42:$Q42,MATCH($B$3,$D$4:$Q$4,0)-1))),INDEX($D42:$Q42,MATCH($B$3,$D$4:$Q$4,0)+1)-INDEX($D42:$Q42,MATCH($B$3,$D$4:$Q$4,0)-1),""),"")</f>
        <v/>
      </c>
      <c r="T42" s="105">
        <f>IFERROR(IF(S42="","",IF(AND(INDEX($D42:$Q42,MATCH($B$3,$D$4:$Q$4,0)+1)=0,INDEX($D42:$Q42,MATCH($B$3,$D$4:$Q$4,0)-1)&gt;0),"WENT TO ZERO",IF(AND(INDEX($D42:$Q42,MATCH($B$3,$D$4:$Q$4,0)-1)=0,INDEX($D42:$Q42,MATCH($B$3,$D$4:$Q$4,0)+1)&gt;0),"NEW ENTRY",IF(INDEX($D42:$Q42,MATCH($B$3,$D$4:$Q$4,0)-1)=0,"absent",IF(S42/INDEX($D42:$Q42,MATCH($B$3,$D$4:$Q$4,0)-1)&lt;-0.2,"FREQUENCY LOSS",IF(AND(R42&lt;-0.1,S42&gt;=0),"WIN",IF(R42&gt;0.1,"LOSS",IF(S42/INDEX($D42:$Q42,MATCH($B$3,$D$4:$Q$4,0)-1)&gt;0.2,"FREQUENCY GAIN","hold")))))))),"")</f>
        <v/>
      </c>
    </row>
    <row r="43" ht="15" customHeight="1" s="65">
      <c r="A43" s="72" t="inlineStr">
        <is>
          <t>medical coding classes online</t>
        </is>
      </c>
      <c r="B43" s="72" t="inlineStr">
        <is>
          <t>ONLINE — medical coding</t>
        </is>
      </c>
      <c r="C43" s="72" t="inlineStr">
        <is>
          <t>Gemini</t>
        </is>
      </c>
      <c r="D43" s="99" t="n">
        <v>1.99</v>
      </c>
      <c r="E43" s="100" t="n">
        <v>29</v>
      </c>
      <c r="F43" s="99" t="n">
        <v>1.17</v>
      </c>
      <c r="G43" s="100" t="n">
        <v>27</v>
      </c>
      <c r="H43" s="101" t="n"/>
      <c r="I43" s="102" t="n"/>
      <c r="J43" s="101" t="n"/>
      <c r="K43" s="102" t="n"/>
      <c r="L43" s="101" t="n"/>
      <c r="M43" s="102" t="n"/>
      <c r="N43" s="101" t="n"/>
      <c r="O43" s="102" t="n"/>
      <c r="P43" s="101" t="n"/>
      <c r="Q43" s="102" t="n"/>
      <c r="R43" s="103">
        <f>IFERROR(IF(AND(ISNUMBER(INDEX($D43:$Q43,MATCH($B$3,$D$4:$Q$4,0))),ISNUMBER(INDEX($D43:$Q43,MATCH($B$3,$D$4:$Q$4,0)-2))),INDEX($D43:$Q43,MATCH($B$3,$D$4:$Q$4,0))-INDEX($D43:$Q43,MATCH($B$3,$D$4:$Q$4,0)-2),""),"")</f>
        <v/>
      </c>
      <c r="S43" s="104">
        <f>IFERROR(IF(AND(ISNUMBER(INDEX($D43:$Q43,MATCH($B$3,$D$4:$Q$4,0)+1)),ISNUMBER(INDEX($D43:$Q43,MATCH($B$3,$D$4:$Q$4,0)-1))),INDEX($D43:$Q43,MATCH($B$3,$D$4:$Q$4,0)+1)-INDEX($D43:$Q43,MATCH($B$3,$D$4:$Q$4,0)-1),""),"")</f>
        <v/>
      </c>
      <c r="T43" s="105">
        <f>IFERROR(IF(S43="","",IF(AND(INDEX($D43:$Q43,MATCH($B$3,$D$4:$Q$4,0)+1)=0,INDEX($D43:$Q43,MATCH($B$3,$D$4:$Q$4,0)-1)&gt;0),"WENT TO ZERO",IF(AND(INDEX($D43:$Q43,MATCH($B$3,$D$4:$Q$4,0)-1)=0,INDEX($D43:$Q43,MATCH($B$3,$D$4:$Q$4,0)+1)&gt;0),"NEW ENTRY",IF(INDEX($D43:$Q43,MATCH($B$3,$D$4:$Q$4,0)-1)=0,"absent",IF(S43/INDEX($D43:$Q43,MATCH($B$3,$D$4:$Q$4,0)-1)&lt;-0.2,"FREQUENCY LOSS",IF(AND(R43&lt;-0.1,S43&gt;=0),"WIN",IF(R43&gt;0.1,"LOSS",IF(S43/INDEX($D43:$Q43,MATCH($B$3,$D$4:$Q$4,0)-1)&gt;0.2,"FREQUENCY GAIN","hold")))))))),"")</f>
        <v/>
      </c>
    </row>
    <row r="44" ht="15" customHeight="1" s="65">
      <c r="A44" s="72" t="inlineStr">
        <is>
          <t>medical coding classes online</t>
        </is>
      </c>
      <c r="B44" s="72" t="inlineStr">
        <is>
          <t>ONLINE — medical coding</t>
        </is>
      </c>
      <c r="C44" s="72" t="inlineStr">
        <is>
          <t>Google AI Overview</t>
        </is>
      </c>
      <c r="D44" s="99" t="n">
        <v>3.9</v>
      </c>
      <c r="E44" s="100" t="n">
        <v>20</v>
      </c>
      <c r="F44" s="99" t="n">
        <v>1.89</v>
      </c>
      <c r="G44" s="100" t="n">
        <v>15</v>
      </c>
      <c r="H44" s="101" t="n"/>
      <c r="I44" s="102" t="n"/>
      <c r="J44" s="101" t="n"/>
      <c r="K44" s="102" t="n"/>
      <c r="L44" s="101" t="n"/>
      <c r="M44" s="102" t="n"/>
      <c r="N44" s="101" t="n"/>
      <c r="O44" s="102" t="n"/>
      <c r="P44" s="101" t="n"/>
      <c r="Q44" s="102" t="n"/>
      <c r="R44" s="103">
        <f>IFERROR(IF(AND(ISNUMBER(INDEX($D44:$Q44,MATCH($B$3,$D$4:$Q$4,0))),ISNUMBER(INDEX($D44:$Q44,MATCH($B$3,$D$4:$Q$4,0)-2))),INDEX($D44:$Q44,MATCH($B$3,$D$4:$Q$4,0))-INDEX($D44:$Q44,MATCH($B$3,$D$4:$Q$4,0)-2),""),"")</f>
        <v/>
      </c>
      <c r="S44" s="104">
        <f>IFERROR(IF(AND(ISNUMBER(INDEX($D44:$Q44,MATCH($B$3,$D$4:$Q$4,0)+1)),ISNUMBER(INDEX($D44:$Q44,MATCH($B$3,$D$4:$Q$4,0)-1))),INDEX($D44:$Q44,MATCH($B$3,$D$4:$Q$4,0)+1)-INDEX($D44:$Q44,MATCH($B$3,$D$4:$Q$4,0)-1),""),"")</f>
        <v/>
      </c>
      <c r="T44" s="105">
        <f>IFERROR(IF(S44="","",IF(AND(INDEX($D44:$Q44,MATCH($B$3,$D$4:$Q$4,0)+1)=0,INDEX($D44:$Q44,MATCH($B$3,$D$4:$Q$4,0)-1)&gt;0),"WENT TO ZERO",IF(AND(INDEX($D44:$Q44,MATCH($B$3,$D$4:$Q$4,0)-1)=0,INDEX($D44:$Q44,MATCH($B$3,$D$4:$Q$4,0)+1)&gt;0),"NEW ENTRY",IF(INDEX($D44:$Q44,MATCH($B$3,$D$4:$Q$4,0)-1)=0,"absent",IF(S44/INDEX($D44:$Q44,MATCH($B$3,$D$4:$Q$4,0)-1)&lt;-0.2,"FREQUENCY LOSS",IF(AND(R44&lt;-0.1,S44&gt;=0),"WIN",IF(R44&gt;0.1,"LOSS",IF(S44/INDEX($D44:$Q44,MATCH($B$3,$D$4:$Q$4,0)-1)&gt;0.2,"FREQUENCY GAIN","hold")))))))),"")</f>
        <v/>
      </c>
    </row>
    <row r="45" ht="15" customHeight="1" s="65">
      <c r="A45" s="72" t="inlineStr">
        <is>
          <t>respiratory therapy schools near me</t>
        </is>
      </c>
      <c r="B45" s="72" t="inlineStr">
        <is>
          <t>Respiratory therapy</t>
        </is>
      </c>
      <c r="C45" s="72" t="inlineStr">
        <is>
          <t>ChatGPT</t>
        </is>
      </c>
      <c r="D45" s="99" t="n">
        <v>1</v>
      </c>
      <c r="E45" s="100" t="n">
        <v>31</v>
      </c>
      <c r="F45" s="99" t="n">
        <v>1</v>
      </c>
      <c r="G45" s="100" t="n">
        <v>30</v>
      </c>
      <c r="H45" s="101" t="n"/>
      <c r="I45" s="102" t="n"/>
      <c r="J45" s="101" t="n"/>
      <c r="K45" s="102" t="n"/>
      <c r="L45" s="101" t="n"/>
      <c r="M45" s="102" t="n"/>
      <c r="N45" s="101" t="n"/>
      <c r="O45" s="102" t="n"/>
      <c r="P45" s="101" t="n"/>
      <c r="Q45" s="102" t="n"/>
      <c r="R45" s="103">
        <f>IFERROR(IF(AND(ISNUMBER(INDEX($D45:$Q45,MATCH($B$3,$D$4:$Q$4,0))),ISNUMBER(INDEX($D45:$Q45,MATCH($B$3,$D$4:$Q$4,0)-2))),INDEX($D45:$Q45,MATCH($B$3,$D$4:$Q$4,0))-INDEX($D45:$Q45,MATCH($B$3,$D$4:$Q$4,0)-2),""),"")</f>
        <v/>
      </c>
      <c r="S45" s="104">
        <f>IFERROR(IF(AND(ISNUMBER(INDEX($D45:$Q45,MATCH($B$3,$D$4:$Q$4,0)+1)),ISNUMBER(INDEX($D45:$Q45,MATCH($B$3,$D$4:$Q$4,0)-1))),INDEX($D45:$Q45,MATCH($B$3,$D$4:$Q$4,0)+1)-INDEX($D45:$Q45,MATCH($B$3,$D$4:$Q$4,0)-1),""),"")</f>
        <v/>
      </c>
      <c r="T45" s="105">
        <f>IFERROR(IF(S45="","",IF(AND(INDEX($D45:$Q45,MATCH($B$3,$D$4:$Q$4,0)+1)=0,INDEX($D45:$Q45,MATCH($B$3,$D$4:$Q$4,0)-1)&gt;0),"WENT TO ZERO",IF(AND(INDEX($D45:$Q45,MATCH($B$3,$D$4:$Q$4,0)-1)=0,INDEX($D45:$Q45,MATCH($B$3,$D$4:$Q$4,0)+1)&gt;0),"NEW ENTRY",IF(INDEX($D45:$Q45,MATCH($B$3,$D$4:$Q$4,0)-1)=0,"absent",IF(S45/INDEX($D45:$Q45,MATCH($B$3,$D$4:$Q$4,0)-1)&lt;-0.2,"FREQUENCY LOSS",IF(AND(R45&lt;-0.1,S45&gt;=0),"WIN",IF(R45&gt;0.1,"LOSS",IF(S45/INDEX($D45:$Q45,MATCH($B$3,$D$4:$Q$4,0)-1)&gt;0.2,"FREQUENCY GAIN","hold")))))))),"")</f>
        <v/>
      </c>
    </row>
    <row r="46" ht="15" customHeight="1" s="65">
      <c r="A46" s="72" t="inlineStr">
        <is>
          <t>respiratory therapy schools near me</t>
        </is>
      </c>
      <c r="B46" s="72" t="inlineStr">
        <is>
          <t>Respiratory therapy</t>
        </is>
      </c>
      <c r="C46" s="72" t="inlineStr">
        <is>
          <t>Gemini</t>
        </is>
      </c>
      <c r="D46" s="99" t="n">
        <v>1</v>
      </c>
      <c r="E46" s="100" t="n">
        <v>31</v>
      </c>
      <c r="F46" s="99" t="n">
        <v>1</v>
      </c>
      <c r="G46" s="100" t="n">
        <v>30</v>
      </c>
      <c r="H46" s="101" t="n"/>
      <c r="I46" s="102" t="n"/>
      <c r="J46" s="101" t="n"/>
      <c r="K46" s="102" t="n"/>
      <c r="L46" s="101" t="n"/>
      <c r="M46" s="102" t="n"/>
      <c r="N46" s="101" t="n"/>
      <c r="O46" s="102" t="n"/>
      <c r="P46" s="101" t="n"/>
      <c r="Q46" s="102" t="n"/>
      <c r="R46" s="103">
        <f>IFERROR(IF(AND(ISNUMBER(INDEX($D46:$Q46,MATCH($B$3,$D$4:$Q$4,0))),ISNUMBER(INDEX($D46:$Q46,MATCH($B$3,$D$4:$Q$4,0)-2))),INDEX($D46:$Q46,MATCH($B$3,$D$4:$Q$4,0))-INDEX($D46:$Q46,MATCH($B$3,$D$4:$Q$4,0)-2),""),"")</f>
        <v/>
      </c>
      <c r="S46" s="104">
        <f>IFERROR(IF(AND(ISNUMBER(INDEX($D46:$Q46,MATCH($B$3,$D$4:$Q$4,0)+1)),ISNUMBER(INDEX($D46:$Q46,MATCH($B$3,$D$4:$Q$4,0)-1))),INDEX($D46:$Q46,MATCH($B$3,$D$4:$Q$4,0)+1)-INDEX($D46:$Q46,MATCH($B$3,$D$4:$Q$4,0)-1),""),"")</f>
        <v/>
      </c>
      <c r="T46" s="105">
        <f>IFERROR(IF(S46="","",IF(AND(INDEX($D46:$Q46,MATCH($B$3,$D$4:$Q$4,0)+1)=0,INDEX($D46:$Q46,MATCH($B$3,$D$4:$Q$4,0)-1)&gt;0),"WENT TO ZERO",IF(AND(INDEX($D46:$Q46,MATCH($B$3,$D$4:$Q$4,0)-1)=0,INDEX($D46:$Q46,MATCH($B$3,$D$4:$Q$4,0)+1)&gt;0),"NEW ENTRY",IF(INDEX($D46:$Q46,MATCH($B$3,$D$4:$Q$4,0)-1)=0,"absent",IF(S46/INDEX($D46:$Q46,MATCH($B$3,$D$4:$Q$4,0)-1)&lt;-0.2,"FREQUENCY LOSS",IF(AND(R46&lt;-0.1,S46&gt;=0),"WIN",IF(R46&gt;0.1,"LOSS",IF(S46/INDEX($D46:$Q46,MATCH($B$3,$D$4:$Q$4,0)-1)&gt;0.2,"FREQUENCY GAIN","hold")))))))),"")</f>
        <v/>
      </c>
    </row>
    <row r="47" ht="15" customHeight="1" s="65">
      <c r="A47" s="72" t="inlineStr">
        <is>
          <t>respiratory therapy schools near me</t>
        </is>
      </c>
      <c r="B47" s="72" t="inlineStr">
        <is>
          <t>Respiratory therapy</t>
        </is>
      </c>
      <c r="C47" s="72" t="inlineStr">
        <is>
          <t>Google AI Overview</t>
        </is>
      </c>
      <c r="D47" s="99" t="n">
        <v>1.03</v>
      </c>
      <c r="E47" s="100" t="n">
        <v>21</v>
      </c>
      <c r="F47" s="99" t="n">
        <v>1.03</v>
      </c>
      <c r="G47" s="100" t="n">
        <v>30</v>
      </c>
      <c r="H47" s="101" t="n"/>
      <c r="I47" s="102" t="n"/>
      <c r="J47" s="101" t="n"/>
      <c r="K47" s="102" t="n"/>
      <c r="L47" s="101" t="n"/>
      <c r="M47" s="102" t="n"/>
      <c r="N47" s="101" t="n"/>
      <c r="O47" s="102" t="n"/>
      <c r="P47" s="101" t="n"/>
      <c r="Q47" s="102" t="n"/>
      <c r="R47" s="103">
        <f>IFERROR(IF(AND(ISNUMBER(INDEX($D47:$Q47,MATCH($B$3,$D$4:$Q$4,0))),ISNUMBER(INDEX($D47:$Q47,MATCH($B$3,$D$4:$Q$4,0)-2))),INDEX($D47:$Q47,MATCH($B$3,$D$4:$Q$4,0))-INDEX($D47:$Q47,MATCH($B$3,$D$4:$Q$4,0)-2),""),"")</f>
        <v/>
      </c>
      <c r="S47" s="104">
        <f>IFERROR(IF(AND(ISNUMBER(INDEX($D47:$Q47,MATCH($B$3,$D$4:$Q$4,0)+1)),ISNUMBER(INDEX($D47:$Q47,MATCH($B$3,$D$4:$Q$4,0)-1))),INDEX($D47:$Q47,MATCH($B$3,$D$4:$Q$4,0)+1)-INDEX($D47:$Q47,MATCH($B$3,$D$4:$Q$4,0)-1),""),"")</f>
        <v/>
      </c>
      <c r="T47" s="105">
        <f>IFERROR(IF(S47="","",IF(AND(INDEX($D47:$Q47,MATCH($B$3,$D$4:$Q$4,0)+1)=0,INDEX($D47:$Q47,MATCH($B$3,$D$4:$Q$4,0)-1)&gt;0),"WENT TO ZERO",IF(AND(INDEX($D47:$Q47,MATCH($B$3,$D$4:$Q$4,0)-1)=0,INDEX($D47:$Q47,MATCH($B$3,$D$4:$Q$4,0)+1)&gt;0),"NEW ENTRY",IF(INDEX($D47:$Q47,MATCH($B$3,$D$4:$Q$4,0)-1)=0,"absent",IF(S47/INDEX($D47:$Q47,MATCH($B$3,$D$4:$Q$4,0)-1)&lt;-0.2,"FREQUENCY LOSS",IF(AND(R47&lt;-0.1,S47&gt;=0),"WIN",IF(R47&gt;0.1,"LOSS",IF(S47/INDEX($D47:$Q47,MATCH($B$3,$D$4:$Q$4,0)-1)&gt;0.2,"FREQUENCY GAIN","hold")))))))),"")</f>
        <v/>
      </c>
    </row>
    <row r="48" ht="15" customHeight="1" s="65">
      <c r="A48" s="72" t="inlineStr">
        <is>
          <t>night emt classes near me</t>
        </is>
      </c>
      <c r="B48" s="72" t="inlineStr">
        <is>
          <t>EMT / flexible</t>
        </is>
      </c>
      <c r="C48" s="72" t="inlineStr">
        <is>
          <t>ChatGPT</t>
        </is>
      </c>
      <c r="D48" s="99" t="n">
        <v>1.07</v>
      </c>
      <c r="E48" s="100" t="n">
        <v>27</v>
      </c>
      <c r="F48" s="99" t="n">
        <v>1</v>
      </c>
      <c r="G48" s="100" t="n">
        <v>30</v>
      </c>
      <c r="H48" s="101" t="n"/>
      <c r="I48" s="102" t="n"/>
      <c r="J48" s="101" t="n"/>
      <c r="K48" s="102" t="n"/>
      <c r="L48" s="101" t="n"/>
      <c r="M48" s="102" t="n"/>
      <c r="N48" s="101" t="n"/>
      <c r="O48" s="102" t="n"/>
      <c r="P48" s="101" t="n"/>
      <c r="Q48" s="102" t="n"/>
      <c r="R48" s="103">
        <f>IFERROR(IF(AND(ISNUMBER(INDEX($D48:$Q48,MATCH($B$3,$D$4:$Q$4,0))),ISNUMBER(INDEX($D48:$Q48,MATCH($B$3,$D$4:$Q$4,0)-2))),INDEX($D48:$Q48,MATCH($B$3,$D$4:$Q$4,0))-INDEX($D48:$Q48,MATCH($B$3,$D$4:$Q$4,0)-2),""),"")</f>
        <v/>
      </c>
      <c r="S48" s="104">
        <f>IFERROR(IF(AND(ISNUMBER(INDEX($D48:$Q48,MATCH($B$3,$D$4:$Q$4,0)+1)),ISNUMBER(INDEX($D48:$Q48,MATCH($B$3,$D$4:$Q$4,0)-1))),INDEX($D48:$Q48,MATCH($B$3,$D$4:$Q$4,0)+1)-INDEX($D48:$Q48,MATCH($B$3,$D$4:$Q$4,0)-1),""),"")</f>
        <v/>
      </c>
      <c r="T48" s="105">
        <f>IFERROR(IF(S48="","",IF(AND(INDEX($D48:$Q48,MATCH($B$3,$D$4:$Q$4,0)+1)=0,INDEX($D48:$Q48,MATCH($B$3,$D$4:$Q$4,0)-1)&gt;0),"WENT TO ZERO",IF(AND(INDEX($D48:$Q48,MATCH($B$3,$D$4:$Q$4,0)-1)=0,INDEX($D48:$Q48,MATCH($B$3,$D$4:$Q$4,0)+1)&gt;0),"NEW ENTRY",IF(INDEX($D48:$Q48,MATCH($B$3,$D$4:$Q$4,0)-1)=0,"absent",IF(S48/INDEX($D48:$Q48,MATCH($B$3,$D$4:$Q$4,0)-1)&lt;-0.2,"FREQUENCY LOSS",IF(AND(R48&lt;-0.1,S48&gt;=0),"WIN",IF(R48&gt;0.1,"LOSS",IF(S48/INDEX($D48:$Q48,MATCH($B$3,$D$4:$Q$4,0)-1)&gt;0.2,"FREQUENCY GAIN","hold")))))))),"")</f>
        <v/>
      </c>
    </row>
    <row r="49" ht="15" customHeight="1" s="65">
      <c r="A49" s="72" t="inlineStr">
        <is>
          <t>night emt classes near me</t>
        </is>
      </c>
      <c r="B49" s="72" t="inlineStr">
        <is>
          <t>EMT / flexible</t>
        </is>
      </c>
      <c r="C49" s="72" t="inlineStr">
        <is>
          <t>Gemini</t>
        </is>
      </c>
      <c r="D49" s="99" t="n">
        <v>1.09</v>
      </c>
      <c r="E49" s="100" t="n">
        <v>31</v>
      </c>
      <c r="F49" s="99" t="n">
        <v>1</v>
      </c>
      <c r="G49" s="100" t="n">
        <v>31</v>
      </c>
      <c r="H49" s="101" t="n"/>
      <c r="I49" s="102" t="n"/>
      <c r="J49" s="101" t="n"/>
      <c r="K49" s="102" t="n"/>
      <c r="L49" s="101" t="n"/>
      <c r="M49" s="102" t="n"/>
      <c r="N49" s="101" t="n"/>
      <c r="O49" s="102" t="n"/>
      <c r="P49" s="101" t="n"/>
      <c r="Q49" s="102" t="n"/>
      <c r="R49" s="103">
        <f>IFERROR(IF(AND(ISNUMBER(INDEX($D49:$Q49,MATCH($B$3,$D$4:$Q$4,0))),ISNUMBER(INDEX($D49:$Q49,MATCH($B$3,$D$4:$Q$4,0)-2))),INDEX($D49:$Q49,MATCH($B$3,$D$4:$Q$4,0))-INDEX($D49:$Q49,MATCH($B$3,$D$4:$Q$4,0)-2),""),"")</f>
        <v/>
      </c>
      <c r="S49" s="104">
        <f>IFERROR(IF(AND(ISNUMBER(INDEX($D49:$Q49,MATCH($B$3,$D$4:$Q$4,0)+1)),ISNUMBER(INDEX($D49:$Q49,MATCH($B$3,$D$4:$Q$4,0)-1))),INDEX($D49:$Q49,MATCH($B$3,$D$4:$Q$4,0)+1)-INDEX($D49:$Q49,MATCH($B$3,$D$4:$Q$4,0)-1),""),"")</f>
        <v/>
      </c>
      <c r="T49" s="105">
        <f>IFERROR(IF(S49="","",IF(AND(INDEX($D49:$Q49,MATCH($B$3,$D$4:$Q$4,0)+1)=0,INDEX($D49:$Q49,MATCH($B$3,$D$4:$Q$4,0)-1)&gt;0),"WENT TO ZERO",IF(AND(INDEX($D49:$Q49,MATCH($B$3,$D$4:$Q$4,0)-1)=0,INDEX($D49:$Q49,MATCH($B$3,$D$4:$Q$4,0)+1)&gt;0),"NEW ENTRY",IF(INDEX($D49:$Q49,MATCH($B$3,$D$4:$Q$4,0)-1)=0,"absent",IF(S49/INDEX($D49:$Q49,MATCH($B$3,$D$4:$Q$4,0)-1)&lt;-0.2,"FREQUENCY LOSS",IF(AND(R49&lt;-0.1,S49&gt;=0),"WIN",IF(R49&gt;0.1,"LOSS",IF(S49/INDEX($D49:$Q49,MATCH($B$3,$D$4:$Q$4,0)-1)&gt;0.2,"FREQUENCY GAIN","hold")))))))),"")</f>
        <v/>
      </c>
    </row>
    <row r="50" ht="15" customHeight="1" s="65">
      <c r="A50" s="72" t="inlineStr">
        <is>
          <t>night emt classes near me</t>
        </is>
      </c>
      <c r="B50" s="72" t="inlineStr">
        <is>
          <t>EMT / flexible</t>
        </is>
      </c>
      <c r="C50" s="72" t="inlineStr">
        <is>
          <t>Google AI Overview</t>
        </is>
      </c>
      <c r="D50" s="99" t="n">
        <v>1.15</v>
      </c>
      <c r="E50" s="100" t="n">
        <v>29</v>
      </c>
      <c r="F50" s="99" t="n">
        <v>1.05</v>
      </c>
      <c r="G50" s="100" t="n">
        <v>29</v>
      </c>
      <c r="H50" s="101" t="n"/>
      <c r="I50" s="102" t="n"/>
      <c r="J50" s="101" t="n"/>
      <c r="K50" s="102" t="n"/>
      <c r="L50" s="101" t="n"/>
      <c r="M50" s="102" t="n"/>
      <c r="N50" s="101" t="n"/>
      <c r="O50" s="102" t="n"/>
      <c r="P50" s="101" t="n"/>
      <c r="Q50" s="102" t="n"/>
      <c r="R50" s="103">
        <f>IFERROR(IF(AND(ISNUMBER(INDEX($D50:$Q50,MATCH($B$3,$D$4:$Q$4,0))),ISNUMBER(INDEX($D50:$Q50,MATCH($B$3,$D$4:$Q$4,0)-2))),INDEX($D50:$Q50,MATCH($B$3,$D$4:$Q$4,0))-INDEX($D50:$Q50,MATCH($B$3,$D$4:$Q$4,0)-2),""),"")</f>
        <v/>
      </c>
      <c r="S50" s="104">
        <f>IFERROR(IF(AND(ISNUMBER(INDEX($D50:$Q50,MATCH($B$3,$D$4:$Q$4,0)+1)),ISNUMBER(INDEX($D50:$Q50,MATCH($B$3,$D$4:$Q$4,0)-1))),INDEX($D50:$Q50,MATCH($B$3,$D$4:$Q$4,0)+1)-INDEX($D50:$Q50,MATCH($B$3,$D$4:$Q$4,0)-1),""),"")</f>
        <v/>
      </c>
      <c r="T50" s="105">
        <f>IFERROR(IF(S50="","",IF(AND(INDEX($D50:$Q50,MATCH($B$3,$D$4:$Q$4,0)+1)=0,INDEX($D50:$Q50,MATCH($B$3,$D$4:$Q$4,0)-1)&gt;0),"WENT TO ZERO",IF(AND(INDEX($D50:$Q50,MATCH($B$3,$D$4:$Q$4,0)-1)=0,INDEX($D50:$Q50,MATCH($B$3,$D$4:$Q$4,0)+1)&gt;0),"NEW ENTRY",IF(INDEX($D50:$Q50,MATCH($B$3,$D$4:$Q$4,0)-1)=0,"absent",IF(S50/INDEX($D50:$Q50,MATCH($B$3,$D$4:$Q$4,0)-1)&lt;-0.2,"FREQUENCY LOSS",IF(AND(R50&lt;-0.1,S50&gt;=0),"WIN",IF(R50&gt;0.1,"LOSS",IF(S50/INDEX($D50:$Q50,MATCH($B$3,$D$4:$Q$4,0)-1)&gt;0.2,"FREQUENCY GAIN","hold")))))))),"")</f>
        <v/>
      </c>
    </row>
    <row r="51" ht="15" customHeight="1" s="65">
      <c r="A51" s="72" t="inlineStr">
        <is>
          <t>online associates degrees</t>
        </is>
      </c>
      <c r="B51" s="72" t="inlineStr">
        <is>
          <t>ONLINE — associate</t>
        </is>
      </c>
      <c r="C51" s="72" t="inlineStr">
        <is>
          <t>ChatGPT</t>
        </is>
      </c>
      <c r="D51" s="99" t="n">
        <v>4.84</v>
      </c>
      <c r="E51" s="100" t="n">
        <v>11</v>
      </c>
      <c r="F51" s="99" t="n">
        <v>1</v>
      </c>
      <c r="G51" s="100" t="n">
        <v>4</v>
      </c>
      <c r="H51" s="101" t="n"/>
      <c r="I51" s="102" t="n"/>
      <c r="J51" s="101" t="n"/>
      <c r="K51" s="102" t="n"/>
      <c r="L51" s="101" t="n"/>
      <c r="M51" s="102" t="n"/>
      <c r="N51" s="101" t="n"/>
      <c r="O51" s="102" t="n"/>
      <c r="P51" s="101" t="n"/>
      <c r="Q51" s="102" t="n"/>
      <c r="R51" s="103">
        <f>IFERROR(IF(AND(ISNUMBER(INDEX($D51:$Q51,MATCH($B$3,$D$4:$Q$4,0))),ISNUMBER(INDEX($D51:$Q51,MATCH($B$3,$D$4:$Q$4,0)-2))),INDEX($D51:$Q51,MATCH($B$3,$D$4:$Q$4,0))-INDEX($D51:$Q51,MATCH($B$3,$D$4:$Q$4,0)-2),""),"")</f>
        <v/>
      </c>
      <c r="S51" s="104">
        <f>IFERROR(IF(AND(ISNUMBER(INDEX($D51:$Q51,MATCH($B$3,$D$4:$Q$4,0)+1)),ISNUMBER(INDEX($D51:$Q51,MATCH($B$3,$D$4:$Q$4,0)-1))),INDEX($D51:$Q51,MATCH($B$3,$D$4:$Q$4,0)+1)-INDEX($D51:$Q51,MATCH($B$3,$D$4:$Q$4,0)-1),""),"")</f>
        <v/>
      </c>
      <c r="T51" s="105">
        <f>IFERROR(IF(S51="","",IF(AND(INDEX($D51:$Q51,MATCH($B$3,$D$4:$Q$4,0)+1)=0,INDEX($D51:$Q51,MATCH($B$3,$D$4:$Q$4,0)-1)&gt;0),"WENT TO ZERO",IF(AND(INDEX($D51:$Q51,MATCH($B$3,$D$4:$Q$4,0)-1)=0,INDEX($D51:$Q51,MATCH($B$3,$D$4:$Q$4,0)+1)&gt;0),"NEW ENTRY",IF(INDEX($D51:$Q51,MATCH($B$3,$D$4:$Q$4,0)-1)=0,"absent",IF(S51/INDEX($D51:$Q51,MATCH($B$3,$D$4:$Q$4,0)-1)&lt;-0.2,"FREQUENCY LOSS",IF(AND(R51&lt;-0.1,S51&gt;=0),"WIN",IF(R51&gt;0.1,"LOSS",IF(S51/INDEX($D51:$Q51,MATCH($B$3,$D$4:$Q$4,0)-1)&gt;0.2,"FREQUENCY GAIN","hold")))))))),"")</f>
        <v/>
      </c>
    </row>
    <row r="52" ht="15" customHeight="1" s="65">
      <c r="A52" s="72" t="inlineStr">
        <is>
          <t>online associates degrees</t>
        </is>
      </c>
      <c r="B52" s="72" t="inlineStr">
        <is>
          <t>ONLINE — associate</t>
        </is>
      </c>
      <c r="C52" s="72" t="inlineStr">
        <is>
          <t>Gemini</t>
        </is>
      </c>
      <c r="D52" s="99" t="n">
        <v>1.36</v>
      </c>
      <c r="E52" s="100" t="n">
        <v>29</v>
      </c>
      <c r="F52" s="99" t="n">
        <v>1.48</v>
      </c>
      <c r="G52" s="100" t="n">
        <v>31</v>
      </c>
      <c r="H52" s="101" t="n"/>
      <c r="I52" s="102" t="n"/>
      <c r="J52" s="101" t="n"/>
      <c r="K52" s="102" t="n"/>
      <c r="L52" s="101" t="n"/>
      <c r="M52" s="102" t="n"/>
      <c r="N52" s="101" t="n"/>
      <c r="O52" s="102" t="n"/>
      <c r="P52" s="101" t="n"/>
      <c r="Q52" s="102" t="n"/>
      <c r="R52" s="103">
        <f>IFERROR(IF(AND(ISNUMBER(INDEX($D52:$Q52,MATCH($B$3,$D$4:$Q$4,0))),ISNUMBER(INDEX($D52:$Q52,MATCH($B$3,$D$4:$Q$4,0)-2))),INDEX($D52:$Q52,MATCH($B$3,$D$4:$Q$4,0))-INDEX($D52:$Q52,MATCH($B$3,$D$4:$Q$4,0)-2),""),"")</f>
        <v/>
      </c>
      <c r="S52" s="104">
        <f>IFERROR(IF(AND(ISNUMBER(INDEX($D52:$Q52,MATCH($B$3,$D$4:$Q$4,0)+1)),ISNUMBER(INDEX($D52:$Q52,MATCH($B$3,$D$4:$Q$4,0)-1))),INDEX($D52:$Q52,MATCH($B$3,$D$4:$Q$4,0)+1)-INDEX($D52:$Q52,MATCH($B$3,$D$4:$Q$4,0)-1),""),"")</f>
        <v/>
      </c>
      <c r="T52" s="105">
        <f>IFERROR(IF(S52="","",IF(AND(INDEX($D52:$Q52,MATCH($B$3,$D$4:$Q$4,0)+1)=0,INDEX($D52:$Q52,MATCH($B$3,$D$4:$Q$4,0)-1)&gt;0),"WENT TO ZERO",IF(AND(INDEX($D52:$Q52,MATCH($B$3,$D$4:$Q$4,0)-1)=0,INDEX($D52:$Q52,MATCH($B$3,$D$4:$Q$4,0)+1)&gt;0),"NEW ENTRY",IF(INDEX($D52:$Q52,MATCH($B$3,$D$4:$Q$4,0)-1)=0,"absent",IF(S52/INDEX($D52:$Q52,MATCH($B$3,$D$4:$Q$4,0)-1)&lt;-0.2,"FREQUENCY LOSS",IF(AND(R52&lt;-0.1,S52&gt;=0),"WIN",IF(R52&gt;0.1,"LOSS",IF(S52/INDEX($D52:$Q52,MATCH($B$3,$D$4:$Q$4,0)-1)&gt;0.2,"FREQUENCY GAIN","hold")))))))),"")</f>
        <v/>
      </c>
    </row>
    <row r="53" ht="15" customHeight="1" s="65">
      <c r="A53" s="72" t="inlineStr">
        <is>
          <t>online associates degrees</t>
        </is>
      </c>
      <c r="B53" s="72" t="inlineStr">
        <is>
          <t>ONLINE — associate</t>
        </is>
      </c>
      <c r="C53" s="72" t="inlineStr">
        <is>
          <t>Google AI Overview</t>
        </is>
      </c>
      <c r="D53" s="99" t="n">
        <v>3.77</v>
      </c>
      <c r="E53" s="100" t="n">
        <v>9</v>
      </c>
      <c r="F53" s="99" t="n">
        <v>3.12</v>
      </c>
      <c r="G53" s="100" t="n">
        <v>1</v>
      </c>
      <c r="H53" s="101" t="n"/>
      <c r="I53" s="102" t="n"/>
      <c r="J53" s="101" t="n"/>
      <c r="K53" s="102" t="n"/>
      <c r="L53" s="101" t="n"/>
      <c r="M53" s="102" t="n"/>
      <c r="N53" s="101" t="n"/>
      <c r="O53" s="102" t="n"/>
      <c r="P53" s="101" t="n"/>
      <c r="Q53" s="102" t="n"/>
      <c r="R53" s="103">
        <f>IFERROR(IF(AND(ISNUMBER(INDEX($D53:$Q53,MATCH($B$3,$D$4:$Q$4,0))),ISNUMBER(INDEX($D53:$Q53,MATCH($B$3,$D$4:$Q$4,0)-2))),INDEX($D53:$Q53,MATCH($B$3,$D$4:$Q$4,0))-INDEX($D53:$Q53,MATCH($B$3,$D$4:$Q$4,0)-2),""),"")</f>
        <v/>
      </c>
      <c r="S53" s="104">
        <f>IFERROR(IF(AND(ISNUMBER(INDEX($D53:$Q53,MATCH($B$3,$D$4:$Q$4,0)+1)),ISNUMBER(INDEX($D53:$Q53,MATCH($B$3,$D$4:$Q$4,0)-1))),INDEX($D53:$Q53,MATCH($B$3,$D$4:$Q$4,0)+1)-INDEX($D53:$Q53,MATCH($B$3,$D$4:$Q$4,0)-1),""),"")</f>
        <v/>
      </c>
      <c r="T53" s="105">
        <f>IFERROR(IF(S53="","",IF(AND(INDEX($D53:$Q53,MATCH($B$3,$D$4:$Q$4,0)+1)=0,INDEX($D53:$Q53,MATCH($B$3,$D$4:$Q$4,0)-1)&gt;0),"WENT TO ZERO",IF(AND(INDEX($D53:$Q53,MATCH($B$3,$D$4:$Q$4,0)-1)=0,INDEX($D53:$Q53,MATCH($B$3,$D$4:$Q$4,0)+1)&gt;0),"NEW ENTRY",IF(INDEX($D53:$Q53,MATCH($B$3,$D$4:$Q$4,0)-1)=0,"absent",IF(S53/INDEX($D53:$Q53,MATCH($B$3,$D$4:$Q$4,0)-1)&lt;-0.2,"FREQUENCY LOSS",IF(AND(R53&lt;-0.1,S53&gt;=0),"WIN",IF(R53&gt;0.1,"LOSS",IF(S53/INDEX($D53:$Q53,MATCH($B$3,$D$4:$Q$4,0)-1)&gt;0.2,"FREQUENCY GAIN","hold")))))))),"")</f>
        <v/>
      </c>
    </row>
    <row r="54" ht="15" customHeight="1" s="65">
      <c r="A54" s="72" t="inlineStr">
        <is>
          <t>online college classes</t>
        </is>
      </c>
      <c r="B54" s="72" t="inlineStr">
        <is>
          <t>ONLINE — general</t>
        </is>
      </c>
      <c r="C54" s="72" t="inlineStr">
        <is>
          <t>ChatGPT</t>
        </is>
      </c>
      <c r="D54" s="99" t="n">
        <v>2.35</v>
      </c>
      <c r="E54" s="100" t="n">
        <v>15</v>
      </c>
      <c r="F54" s="99" t="n">
        <v>4.47</v>
      </c>
      <c r="G54" s="100" t="n">
        <v>10</v>
      </c>
      <c r="H54" s="101" t="n"/>
      <c r="I54" s="102" t="n"/>
      <c r="J54" s="101" t="n"/>
      <c r="K54" s="102" t="n"/>
      <c r="L54" s="101" t="n"/>
      <c r="M54" s="102" t="n"/>
      <c r="N54" s="101" t="n"/>
      <c r="O54" s="102" t="n"/>
      <c r="P54" s="101" t="n"/>
      <c r="Q54" s="102" t="n"/>
      <c r="R54" s="103">
        <f>IFERROR(IF(AND(ISNUMBER(INDEX($D54:$Q54,MATCH($B$3,$D$4:$Q$4,0))),ISNUMBER(INDEX($D54:$Q54,MATCH($B$3,$D$4:$Q$4,0)-2))),INDEX($D54:$Q54,MATCH($B$3,$D$4:$Q$4,0))-INDEX($D54:$Q54,MATCH($B$3,$D$4:$Q$4,0)-2),""),"")</f>
        <v/>
      </c>
      <c r="S54" s="104">
        <f>IFERROR(IF(AND(ISNUMBER(INDEX($D54:$Q54,MATCH($B$3,$D$4:$Q$4,0)+1)),ISNUMBER(INDEX($D54:$Q54,MATCH($B$3,$D$4:$Q$4,0)-1))),INDEX($D54:$Q54,MATCH($B$3,$D$4:$Q$4,0)+1)-INDEX($D54:$Q54,MATCH($B$3,$D$4:$Q$4,0)-1),""),"")</f>
        <v/>
      </c>
      <c r="T54" s="105">
        <f>IFERROR(IF(S54="","",IF(AND(INDEX($D54:$Q54,MATCH($B$3,$D$4:$Q$4,0)+1)=0,INDEX($D54:$Q54,MATCH($B$3,$D$4:$Q$4,0)-1)&gt;0),"WENT TO ZERO",IF(AND(INDEX($D54:$Q54,MATCH($B$3,$D$4:$Q$4,0)-1)=0,INDEX($D54:$Q54,MATCH($B$3,$D$4:$Q$4,0)+1)&gt;0),"NEW ENTRY",IF(INDEX($D54:$Q54,MATCH($B$3,$D$4:$Q$4,0)-1)=0,"absent",IF(S54/INDEX($D54:$Q54,MATCH($B$3,$D$4:$Q$4,0)-1)&lt;-0.2,"FREQUENCY LOSS",IF(AND(R54&lt;-0.1,S54&gt;=0),"WIN",IF(R54&gt;0.1,"LOSS",IF(S54/INDEX($D54:$Q54,MATCH($B$3,$D$4:$Q$4,0)-1)&gt;0.2,"FREQUENCY GAIN","hold")))))))),"")</f>
        <v/>
      </c>
    </row>
    <row r="55" ht="15" customHeight="1" s="65">
      <c r="A55" s="72" t="inlineStr">
        <is>
          <t>online college classes</t>
        </is>
      </c>
      <c r="B55" s="72" t="inlineStr">
        <is>
          <t>ONLINE — general</t>
        </is>
      </c>
      <c r="C55" s="72" t="inlineStr">
        <is>
          <t>Gemini</t>
        </is>
      </c>
      <c r="D55" s="99" t="n">
        <v>1.85</v>
      </c>
      <c r="E55" s="100" t="n">
        <v>31</v>
      </c>
      <c r="F55" s="99" t="n">
        <v>1.79</v>
      </c>
      <c r="G55" s="100" t="n">
        <v>30</v>
      </c>
      <c r="H55" s="101" t="n"/>
      <c r="I55" s="102" t="n"/>
      <c r="J55" s="101" t="n"/>
      <c r="K55" s="102" t="n"/>
      <c r="L55" s="101" t="n"/>
      <c r="M55" s="102" t="n"/>
      <c r="N55" s="101" t="n"/>
      <c r="O55" s="102" t="n"/>
      <c r="P55" s="101" t="n"/>
      <c r="Q55" s="102" t="n"/>
      <c r="R55" s="103">
        <f>IFERROR(IF(AND(ISNUMBER(INDEX($D55:$Q55,MATCH($B$3,$D$4:$Q$4,0))),ISNUMBER(INDEX($D55:$Q55,MATCH($B$3,$D$4:$Q$4,0)-2))),INDEX($D55:$Q55,MATCH($B$3,$D$4:$Q$4,0))-INDEX($D55:$Q55,MATCH($B$3,$D$4:$Q$4,0)-2),""),"")</f>
        <v/>
      </c>
      <c r="S55" s="104">
        <f>IFERROR(IF(AND(ISNUMBER(INDEX($D55:$Q55,MATCH($B$3,$D$4:$Q$4,0)+1)),ISNUMBER(INDEX($D55:$Q55,MATCH($B$3,$D$4:$Q$4,0)-1))),INDEX($D55:$Q55,MATCH($B$3,$D$4:$Q$4,0)+1)-INDEX($D55:$Q55,MATCH($B$3,$D$4:$Q$4,0)-1),""),"")</f>
        <v/>
      </c>
      <c r="T55" s="105">
        <f>IFERROR(IF(S55="","",IF(AND(INDEX($D55:$Q55,MATCH($B$3,$D$4:$Q$4,0)+1)=0,INDEX($D55:$Q55,MATCH($B$3,$D$4:$Q$4,0)-1)&gt;0),"WENT TO ZERO",IF(AND(INDEX($D55:$Q55,MATCH($B$3,$D$4:$Q$4,0)-1)=0,INDEX($D55:$Q55,MATCH($B$3,$D$4:$Q$4,0)+1)&gt;0),"NEW ENTRY",IF(INDEX($D55:$Q55,MATCH($B$3,$D$4:$Q$4,0)-1)=0,"absent",IF(S55/INDEX($D55:$Q55,MATCH($B$3,$D$4:$Q$4,0)-1)&lt;-0.2,"FREQUENCY LOSS",IF(AND(R55&lt;-0.1,S55&gt;=0),"WIN",IF(R55&gt;0.1,"LOSS",IF(S55/INDEX($D55:$Q55,MATCH($B$3,$D$4:$Q$4,0)-1)&gt;0.2,"FREQUENCY GAIN","hold")))))))),"")</f>
        <v/>
      </c>
    </row>
    <row r="56" ht="15" customHeight="1" s="65">
      <c r="A56" s="72" t="inlineStr">
        <is>
          <t>online college classes</t>
        </is>
      </c>
      <c r="B56" s="72" t="inlineStr">
        <is>
          <t>ONLINE — general</t>
        </is>
      </c>
      <c r="C56" s="72" t="inlineStr">
        <is>
          <t>Google AI Overview</t>
        </is>
      </c>
      <c r="D56" s="99" t="n">
        <v>1.31</v>
      </c>
      <c r="E56" s="100" t="n">
        <v>16</v>
      </c>
      <c r="F56" s="99" t="n">
        <v>1.15</v>
      </c>
      <c r="G56" s="100" t="n">
        <v>18</v>
      </c>
      <c r="H56" s="101" t="n"/>
      <c r="I56" s="102" t="n"/>
      <c r="J56" s="101" t="n"/>
      <c r="K56" s="102" t="n"/>
      <c r="L56" s="101" t="n"/>
      <c r="M56" s="102" t="n"/>
      <c r="N56" s="101" t="n"/>
      <c r="O56" s="102" t="n"/>
      <c r="P56" s="101" t="n"/>
      <c r="Q56" s="102" t="n"/>
      <c r="R56" s="103">
        <f>IFERROR(IF(AND(ISNUMBER(INDEX($D56:$Q56,MATCH($B$3,$D$4:$Q$4,0))),ISNUMBER(INDEX($D56:$Q56,MATCH($B$3,$D$4:$Q$4,0)-2))),INDEX($D56:$Q56,MATCH($B$3,$D$4:$Q$4,0))-INDEX($D56:$Q56,MATCH($B$3,$D$4:$Q$4,0)-2),""),"")</f>
        <v/>
      </c>
      <c r="S56" s="104">
        <f>IFERROR(IF(AND(ISNUMBER(INDEX($D56:$Q56,MATCH($B$3,$D$4:$Q$4,0)+1)),ISNUMBER(INDEX($D56:$Q56,MATCH($B$3,$D$4:$Q$4,0)-1))),INDEX($D56:$Q56,MATCH($B$3,$D$4:$Q$4,0)+1)-INDEX($D56:$Q56,MATCH($B$3,$D$4:$Q$4,0)-1),""),"")</f>
        <v/>
      </c>
      <c r="T56" s="105">
        <f>IFERROR(IF(S56="","",IF(AND(INDEX($D56:$Q56,MATCH($B$3,$D$4:$Q$4,0)+1)=0,INDEX($D56:$Q56,MATCH($B$3,$D$4:$Q$4,0)-1)&gt;0),"WENT TO ZERO",IF(AND(INDEX($D56:$Q56,MATCH($B$3,$D$4:$Q$4,0)-1)=0,INDEX($D56:$Q56,MATCH($B$3,$D$4:$Q$4,0)+1)&gt;0),"NEW ENTRY",IF(INDEX($D56:$Q56,MATCH($B$3,$D$4:$Q$4,0)-1)=0,"absent",IF(S56/INDEX($D56:$Q56,MATCH($B$3,$D$4:$Q$4,0)-1)&lt;-0.2,"FREQUENCY LOSS",IF(AND(R56&lt;-0.1,S56&gt;=0),"WIN",IF(R56&gt;0.1,"LOSS",IF(S56/INDEX($D56:$Q56,MATCH($B$3,$D$4:$Q$4,0)-1)&gt;0.2,"FREQUENCY GAIN","hold")))))))),"")</f>
        <v/>
      </c>
    </row>
    <row r="57" ht="15" customHeight="1" s="65">
      <c r="A57" s="72" t="inlineStr">
        <is>
          <t>online course for medical coding</t>
        </is>
      </c>
      <c r="B57" s="72" t="inlineStr">
        <is>
          <t>ONLINE — medical coding</t>
        </is>
      </c>
      <c r="C57" s="72" t="inlineStr">
        <is>
          <t>ChatGPT</t>
        </is>
      </c>
      <c r="D57" s="99" t="n">
        <v>3.53</v>
      </c>
      <c r="E57" s="100" t="n">
        <v>4</v>
      </c>
      <c r="F57" s="99" t="n">
        <v>2.27</v>
      </c>
      <c r="G57" s="100" t="n">
        <v>4</v>
      </c>
      <c r="H57" s="101" t="n"/>
      <c r="I57" s="102" t="n"/>
      <c r="J57" s="101" t="n"/>
      <c r="K57" s="102" t="n"/>
      <c r="L57" s="101" t="n"/>
      <c r="M57" s="102" t="n"/>
      <c r="N57" s="101" t="n"/>
      <c r="O57" s="102" t="n"/>
      <c r="P57" s="101" t="n"/>
      <c r="Q57" s="102" t="n"/>
      <c r="R57" s="103">
        <f>IFERROR(IF(AND(ISNUMBER(INDEX($D57:$Q57,MATCH($B$3,$D$4:$Q$4,0))),ISNUMBER(INDEX($D57:$Q57,MATCH($B$3,$D$4:$Q$4,0)-2))),INDEX($D57:$Q57,MATCH($B$3,$D$4:$Q$4,0))-INDEX($D57:$Q57,MATCH($B$3,$D$4:$Q$4,0)-2),""),"")</f>
        <v/>
      </c>
      <c r="S57" s="104">
        <f>IFERROR(IF(AND(ISNUMBER(INDEX($D57:$Q57,MATCH($B$3,$D$4:$Q$4,0)+1)),ISNUMBER(INDEX($D57:$Q57,MATCH($B$3,$D$4:$Q$4,0)-1))),INDEX($D57:$Q57,MATCH($B$3,$D$4:$Q$4,0)+1)-INDEX($D57:$Q57,MATCH($B$3,$D$4:$Q$4,0)-1),""),"")</f>
        <v/>
      </c>
      <c r="T57" s="105">
        <f>IFERROR(IF(S57="","",IF(AND(INDEX($D57:$Q57,MATCH($B$3,$D$4:$Q$4,0)+1)=0,INDEX($D57:$Q57,MATCH($B$3,$D$4:$Q$4,0)-1)&gt;0),"WENT TO ZERO",IF(AND(INDEX($D57:$Q57,MATCH($B$3,$D$4:$Q$4,0)-1)=0,INDEX($D57:$Q57,MATCH($B$3,$D$4:$Q$4,0)+1)&gt;0),"NEW ENTRY",IF(INDEX($D57:$Q57,MATCH($B$3,$D$4:$Q$4,0)-1)=0,"absent",IF(S57/INDEX($D57:$Q57,MATCH($B$3,$D$4:$Q$4,0)-1)&lt;-0.2,"FREQUENCY LOSS",IF(AND(R57&lt;-0.1,S57&gt;=0),"WIN",IF(R57&gt;0.1,"LOSS",IF(S57/INDEX($D57:$Q57,MATCH($B$3,$D$4:$Q$4,0)-1)&gt;0.2,"FREQUENCY GAIN","hold")))))))),"")</f>
        <v/>
      </c>
    </row>
    <row r="58" ht="15" customHeight="1" s="65">
      <c r="A58" s="72" t="inlineStr">
        <is>
          <t>online course for medical coding</t>
        </is>
      </c>
      <c r="B58" s="72" t="inlineStr">
        <is>
          <t>ONLINE — medical coding</t>
        </is>
      </c>
      <c r="C58" s="72" t="inlineStr">
        <is>
          <t>Gemini</t>
        </is>
      </c>
      <c r="D58" s="99" t="n">
        <v>1.71</v>
      </c>
      <c r="E58" s="100" t="n">
        <v>31</v>
      </c>
      <c r="F58" s="99" t="n">
        <v>1.46</v>
      </c>
      <c r="G58" s="100" t="n">
        <v>26</v>
      </c>
      <c r="H58" s="101" t="n"/>
      <c r="I58" s="102" t="n"/>
      <c r="J58" s="101" t="n"/>
      <c r="K58" s="102" t="n"/>
      <c r="L58" s="101" t="n"/>
      <c r="M58" s="102" t="n"/>
      <c r="N58" s="101" t="n"/>
      <c r="O58" s="102" t="n"/>
      <c r="P58" s="101" t="n"/>
      <c r="Q58" s="102" t="n"/>
      <c r="R58" s="103">
        <f>IFERROR(IF(AND(ISNUMBER(INDEX($D58:$Q58,MATCH($B$3,$D$4:$Q$4,0))),ISNUMBER(INDEX($D58:$Q58,MATCH($B$3,$D$4:$Q$4,0)-2))),INDEX($D58:$Q58,MATCH($B$3,$D$4:$Q$4,0))-INDEX($D58:$Q58,MATCH($B$3,$D$4:$Q$4,0)-2),""),"")</f>
        <v/>
      </c>
      <c r="S58" s="104">
        <f>IFERROR(IF(AND(ISNUMBER(INDEX($D58:$Q58,MATCH($B$3,$D$4:$Q$4,0)+1)),ISNUMBER(INDEX($D58:$Q58,MATCH($B$3,$D$4:$Q$4,0)-1))),INDEX($D58:$Q58,MATCH($B$3,$D$4:$Q$4,0)+1)-INDEX($D58:$Q58,MATCH($B$3,$D$4:$Q$4,0)-1),""),"")</f>
        <v/>
      </c>
      <c r="T58" s="105">
        <f>IFERROR(IF(S58="","",IF(AND(INDEX($D58:$Q58,MATCH($B$3,$D$4:$Q$4,0)+1)=0,INDEX($D58:$Q58,MATCH($B$3,$D$4:$Q$4,0)-1)&gt;0),"WENT TO ZERO",IF(AND(INDEX($D58:$Q58,MATCH($B$3,$D$4:$Q$4,0)-1)=0,INDEX($D58:$Q58,MATCH($B$3,$D$4:$Q$4,0)+1)&gt;0),"NEW ENTRY",IF(INDEX($D58:$Q58,MATCH($B$3,$D$4:$Q$4,0)-1)=0,"absent",IF(S58/INDEX($D58:$Q58,MATCH($B$3,$D$4:$Q$4,0)-1)&lt;-0.2,"FREQUENCY LOSS",IF(AND(R58&lt;-0.1,S58&gt;=0),"WIN",IF(R58&gt;0.1,"LOSS",IF(S58/INDEX($D58:$Q58,MATCH($B$3,$D$4:$Q$4,0)-1)&gt;0.2,"FREQUENCY GAIN","hold")))))))),"")</f>
        <v/>
      </c>
    </row>
    <row r="59" ht="15" customHeight="1" s="65">
      <c r="A59" s="72" t="inlineStr">
        <is>
          <t>online course for medical coding</t>
        </is>
      </c>
      <c r="B59" s="72" t="inlineStr">
        <is>
          <t>ONLINE — medical coding</t>
        </is>
      </c>
      <c r="C59" s="72" t="inlineStr">
        <is>
          <t>Google AI Overview</t>
        </is>
      </c>
      <c r="D59" s="99" t="n">
        <v>4.46</v>
      </c>
      <c r="E59" s="100" t="n">
        <v>20</v>
      </c>
      <c r="F59" s="99" t="n">
        <v>2.03</v>
      </c>
      <c r="G59" s="100" t="n">
        <v>27</v>
      </c>
      <c r="H59" s="101" t="n"/>
      <c r="I59" s="102" t="n"/>
      <c r="J59" s="101" t="n"/>
      <c r="K59" s="102" t="n"/>
      <c r="L59" s="101" t="n"/>
      <c r="M59" s="102" t="n"/>
      <c r="N59" s="101" t="n"/>
      <c r="O59" s="102" t="n"/>
      <c r="P59" s="101" t="n"/>
      <c r="Q59" s="102" t="n"/>
      <c r="R59" s="103">
        <f>IFERROR(IF(AND(ISNUMBER(INDEX($D59:$Q59,MATCH($B$3,$D$4:$Q$4,0))),ISNUMBER(INDEX($D59:$Q59,MATCH($B$3,$D$4:$Q$4,0)-2))),INDEX($D59:$Q59,MATCH($B$3,$D$4:$Q$4,0))-INDEX($D59:$Q59,MATCH($B$3,$D$4:$Q$4,0)-2),""),"")</f>
        <v/>
      </c>
      <c r="S59" s="104">
        <f>IFERROR(IF(AND(ISNUMBER(INDEX($D59:$Q59,MATCH($B$3,$D$4:$Q$4,0)+1)),ISNUMBER(INDEX($D59:$Q59,MATCH($B$3,$D$4:$Q$4,0)-1))),INDEX($D59:$Q59,MATCH($B$3,$D$4:$Q$4,0)+1)-INDEX($D59:$Q59,MATCH($B$3,$D$4:$Q$4,0)-1),""),"")</f>
        <v/>
      </c>
      <c r="T59" s="105">
        <f>IFERROR(IF(S59="","",IF(AND(INDEX($D59:$Q59,MATCH($B$3,$D$4:$Q$4,0)+1)=0,INDEX($D59:$Q59,MATCH($B$3,$D$4:$Q$4,0)-1)&gt;0),"WENT TO ZERO",IF(AND(INDEX($D59:$Q59,MATCH($B$3,$D$4:$Q$4,0)-1)=0,INDEX($D59:$Q59,MATCH($B$3,$D$4:$Q$4,0)+1)&gt;0),"NEW ENTRY",IF(INDEX($D59:$Q59,MATCH($B$3,$D$4:$Q$4,0)-1)=0,"absent",IF(S59/INDEX($D59:$Q59,MATCH($B$3,$D$4:$Q$4,0)-1)&lt;-0.2,"FREQUENCY LOSS",IF(AND(R59&lt;-0.1,S59&gt;=0),"WIN",IF(R59&gt;0.1,"LOSS",IF(S59/INDEX($D59:$Q59,MATCH($B$3,$D$4:$Q$4,0)-1)&gt;0.2,"FREQUENCY GAIN","hold")))))))),"")</f>
        <v/>
      </c>
    </row>
    <row r="60" ht="15" customHeight="1" s="65">
      <c r="A60" s="72" t="inlineStr">
        <is>
          <t>online real estate license classes</t>
        </is>
      </c>
      <c r="B60" s="72" t="inlineStr">
        <is>
          <t>ONLINE — real estate</t>
        </is>
      </c>
      <c r="C60" s="72" t="inlineStr">
        <is>
          <t>ChatGPT</t>
        </is>
      </c>
      <c r="D60" s="99" t="n">
        <v>1.9</v>
      </c>
      <c r="E60" s="100" t="n">
        <v>22</v>
      </c>
      <c r="F60" s="99" t="n">
        <v>1.17</v>
      </c>
      <c r="G60" s="100" t="n">
        <v>28</v>
      </c>
      <c r="H60" s="101" t="n"/>
      <c r="I60" s="102" t="n"/>
      <c r="J60" s="101" t="n"/>
      <c r="K60" s="102" t="n"/>
      <c r="L60" s="101" t="n"/>
      <c r="M60" s="102" t="n"/>
      <c r="N60" s="101" t="n"/>
      <c r="O60" s="102" t="n"/>
      <c r="P60" s="101" t="n"/>
      <c r="Q60" s="102" t="n"/>
      <c r="R60" s="103">
        <f>IFERROR(IF(AND(ISNUMBER(INDEX($D60:$Q60,MATCH($B$3,$D$4:$Q$4,0))),ISNUMBER(INDEX($D60:$Q60,MATCH($B$3,$D$4:$Q$4,0)-2))),INDEX($D60:$Q60,MATCH($B$3,$D$4:$Q$4,0))-INDEX($D60:$Q60,MATCH($B$3,$D$4:$Q$4,0)-2),""),"")</f>
        <v/>
      </c>
      <c r="S60" s="104">
        <f>IFERROR(IF(AND(ISNUMBER(INDEX($D60:$Q60,MATCH($B$3,$D$4:$Q$4,0)+1)),ISNUMBER(INDEX($D60:$Q60,MATCH($B$3,$D$4:$Q$4,0)-1))),INDEX($D60:$Q60,MATCH($B$3,$D$4:$Q$4,0)+1)-INDEX($D60:$Q60,MATCH($B$3,$D$4:$Q$4,0)-1),""),"")</f>
        <v/>
      </c>
      <c r="T60" s="105">
        <f>IFERROR(IF(S60="","",IF(AND(INDEX($D60:$Q60,MATCH($B$3,$D$4:$Q$4,0)+1)=0,INDEX($D60:$Q60,MATCH($B$3,$D$4:$Q$4,0)-1)&gt;0),"WENT TO ZERO",IF(AND(INDEX($D60:$Q60,MATCH($B$3,$D$4:$Q$4,0)-1)=0,INDEX($D60:$Q60,MATCH($B$3,$D$4:$Q$4,0)+1)&gt;0),"NEW ENTRY",IF(INDEX($D60:$Q60,MATCH($B$3,$D$4:$Q$4,0)-1)=0,"absent",IF(S60/INDEX($D60:$Q60,MATCH($B$3,$D$4:$Q$4,0)-1)&lt;-0.2,"FREQUENCY LOSS",IF(AND(R60&lt;-0.1,S60&gt;=0),"WIN",IF(R60&gt;0.1,"LOSS",IF(S60/INDEX($D60:$Q60,MATCH($B$3,$D$4:$Q$4,0)-1)&gt;0.2,"FREQUENCY GAIN","hold")))))))),"")</f>
        <v/>
      </c>
    </row>
    <row r="61" ht="15" customHeight="1" s="65">
      <c r="A61" s="72" t="inlineStr">
        <is>
          <t>online real estate license classes</t>
        </is>
      </c>
      <c r="B61" s="72" t="inlineStr">
        <is>
          <t>ONLINE — real estate</t>
        </is>
      </c>
      <c r="C61" s="72" t="inlineStr">
        <is>
          <t>Gemini</t>
        </is>
      </c>
      <c r="D61" s="99" t="n">
        <v>1.7</v>
      </c>
      <c r="E61" s="100" t="n">
        <v>31</v>
      </c>
      <c r="F61" s="99" t="n">
        <v>1</v>
      </c>
      <c r="G61" s="100" t="n">
        <v>29</v>
      </c>
      <c r="H61" s="101" t="n"/>
      <c r="I61" s="102" t="n"/>
      <c r="J61" s="101" t="n"/>
      <c r="K61" s="102" t="n"/>
      <c r="L61" s="101" t="n"/>
      <c r="M61" s="102" t="n"/>
      <c r="N61" s="101" t="n"/>
      <c r="O61" s="102" t="n"/>
      <c r="P61" s="101" t="n"/>
      <c r="Q61" s="102" t="n"/>
      <c r="R61" s="103">
        <f>IFERROR(IF(AND(ISNUMBER(INDEX($D61:$Q61,MATCH($B$3,$D$4:$Q$4,0))),ISNUMBER(INDEX($D61:$Q61,MATCH($B$3,$D$4:$Q$4,0)-2))),INDEX($D61:$Q61,MATCH($B$3,$D$4:$Q$4,0))-INDEX($D61:$Q61,MATCH($B$3,$D$4:$Q$4,0)-2),""),"")</f>
        <v/>
      </c>
      <c r="S61" s="104">
        <f>IFERROR(IF(AND(ISNUMBER(INDEX($D61:$Q61,MATCH($B$3,$D$4:$Q$4,0)+1)),ISNUMBER(INDEX($D61:$Q61,MATCH($B$3,$D$4:$Q$4,0)-1))),INDEX($D61:$Q61,MATCH($B$3,$D$4:$Q$4,0)+1)-INDEX($D61:$Q61,MATCH($B$3,$D$4:$Q$4,0)-1),""),"")</f>
        <v/>
      </c>
      <c r="T61" s="105">
        <f>IFERROR(IF(S61="","",IF(AND(INDEX($D61:$Q61,MATCH($B$3,$D$4:$Q$4,0)+1)=0,INDEX($D61:$Q61,MATCH($B$3,$D$4:$Q$4,0)-1)&gt;0),"WENT TO ZERO",IF(AND(INDEX($D61:$Q61,MATCH($B$3,$D$4:$Q$4,0)-1)=0,INDEX($D61:$Q61,MATCH($B$3,$D$4:$Q$4,0)+1)&gt;0),"NEW ENTRY",IF(INDEX($D61:$Q61,MATCH($B$3,$D$4:$Q$4,0)-1)=0,"absent",IF(S61/INDEX($D61:$Q61,MATCH($B$3,$D$4:$Q$4,0)-1)&lt;-0.2,"FREQUENCY LOSS",IF(AND(R61&lt;-0.1,S61&gt;=0),"WIN",IF(R61&gt;0.1,"LOSS",IF(S61/INDEX($D61:$Q61,MATCH($B$3,$D$4:$Q$4,0)-1)&gt;0.2,"FREQUENCY GAIN","hold")))))))),"")</f>
        <v/>
      </c>
    </row>
    <row r="62" ht="15" customHeight="1" s="65">
      <c r="A62" s="72" t="inlineStr">
        <is>
          <t>online real estate license classes</t>
        </is>
      </c>
      <c r="B62" s="72" t="inlineStr">
        <is>
          <t>ONLINE — real estate</t>
        </is>
      </c>
      <c r="C62" s="72" t="inlineStr">
        <is>
          <t>Google AI Overview</t>
        </is>
      </c>
      <c r="D62" s="99" t="n">
        <v>1.64</v>
      </c>
      <c r="E62" s="100" t="n">
        <v>28</v>
      </c>
      <c r="F62" s="99" t="n">
        <v>1</v>
      </c>
      <c r="G62" s="100" t="n">
        <v>29</v>
      </c>
      <c r="H62" s="101" t="n"/>
      <c r="I62" s="102" t="n"/>
      <c r="J62" s="101" t="n"/>
      <c r="K62" s="102" t="n"/>
      <c r="L62" s="101" t="n"/>
      <c r="M62" s="102" t="n"/>
      <c r="N62" s="101" t="n"/>
      <c r="O62" s="102" t="n"/>
      <c r="P62" s="101" t="n"/>
      <c r="Q62" s="102" t="n"/>
      <c r="R62" s="103">
        <f>IFERROR(IF(AND(ISNUMBER(INDEX($D62:$Q62,MATCH($B$3,$D$4:$Q$4,0))),ISNUMBER(INDEX($D62:$Q62,MATCH($B$3,$D$4:$Q$4,0)-2))),INDEX($D62:$Q62,MATCH($B$3,$D$4:$Q$4,0))-INDEX($D62:$Q62,MATCH($B$3,$D$4:$Q$4,0)-2),""),"")</f>
        <v/>
      </c>
      <c r="S62" s="104">
        <f>IFERROR(IF(AND(ISNUMBER(INDEX($D62:$Q62,MATCH($B$3,$D$4:$Q$4,0)+1)),ISNUMBER(INDEX($D62:$Q62,MATCH($B$3,$D$4:$Q$4,0)-1))),INDEX($D62:$Q62,MATCH($B$3,$D$4:$Q$4,0)+1)-INDEX($D62:$Q62,MATCH($B$3,$D$4:$Q$4,0)-1),""),"")</f>
        <v/>
      </c>
      <c r="T62" s="105">
        <f>IFERROR(IF(S62="","",IF(AND(INDEX($D62:$Q62,MATCH($B$3,$D$4:$Q$4,0)+1)=0,INDEX($D62:$Q62,MATCH($B$3,$D$4:$Q$4,0)-1)&gt;0),"WENT TO ZERO",IF(AND(INDEX($D62:$Q62,MATCH($B$3,$D$4:$Q$4,0)-1)=0,INDEX($D62:$Q62,MATCH($B$3,$D$4:$Q$4,0)+1)&gt;0),"NEW ENTRY",IF(INDEX($D62:$Q62,MATCH($B$3,$D$4:$Q$4,0)-1)=0,"absent",IF(S62/INDEX($D62:$Q62,MATCH($B$3,$D$4:$Q$4,0)-1)&lt;-0.2,"FREQUENCY LOSS",IF(AND(R62&lt;-0.1,S62&gt;=0),"WIN",IF(R62&gt;0.1,"LOSS",IF(S62/INDEX($D62:$Q62,MATCH($B$3,$D$4:$Q$4,0)-1)&gt;0.2,"FREQUENCY GAIN","hold")))))))),"")</f>
        <v/>
      </c>
    </row>
    <row r="63" ht="15" customHeight="1" s="65">
      <c r="A63" s="72" t="inlineStr">
        <is>
          <t>phlebotomy technician classes</t>
        </is>
      </c>
      <c r="B63" s="72" t="inlineStr">
        <is>
          <t>Phlebotomy</t>
        </is>
      </c>
      <c r="C63" s="72" t="inlineStr">
        <is>
          <t>ChatGPT</t>
        </is>
      </c>
      <c r="D63" s="99" t="n">
        <v>1</v>
      </c>
      <c r="E63" s="100" t="n">
        <v>31</v>
      </c>
      <c r="F63" s="99" t="n">
        <v>1</v>
      </c>
      <c r="G63" s="100" t="n">
        <v>31</v>
      </c>
      <c r="H63" s="101" t="n"/>
      <c r="I63" s="102" t="n"/>
      <c r="J63" s="101" t="n"/>
      <c r="K63" s="102" t="n"/>
      <c r="L63" s="101" t="n"/>
      <c r="M63" s="102" t="n"/>
      <c r="N63" s="101" t="n"/>
      <c r="O63" s="102" t="n"/>
      <c r="P63" s="101" t="n"/>
      <c r="Q63" s="102" t="n"/>
      <c r="R63" s="103">
        <f>IFERROR(IF(AND(ISNUMBER(INDEX($D63:$Q63,MATCH($B$3,$D$4:$Q$4,0))),ISNUMBER(INDEX($D63:$Q63,MATCH($B$3,$D$4:$Q$4,0)-2))),INDEX($D63:$Q63,MATCH($B$3,$D$4:$Q$4,0))-INDEX($D63:$Q63,MATCH($B$3,$D$4:$Q$4,0)-2),""),"")</f>
        <v/>
      </c>
      <c r="S63" s="104">
        <f>IFERROR(IF(AND(ISNUMBER(INDEX($D63:$Q63,MATCH($B$3,$D$4:$Q$4,0)+1)),ISNUMBER(INDEX($D63:$Q63,MATCH($B$3,$D$4:$Q$4,0)-1))),INDEX($D63:$Q63,MATCH($B$3,$D$4:$Q$4,0)+1)-INDEX($D63:$Q63,MATCH($B$3,$D$4:$Q$4,0)-1),""),"")</f>
        <v/>
      </c>
      <c r="T63" s="105">
        <f>IFERROR(IF(S63="","",IF(AND(INDEX($D63:$Q63,MATCH($B$3,$D$4:$Q$4,0)+1)=0,INDEX($D63:$Q63,MATCH($B$3,$D$4:$Q$4,0)-1)&gt;0),"WENT TO ZERO",IF(AND(INDEX($D63:$Q63,MATCH($B$3,$D$4:$Q$4,0)-1)=0,INDEX($D63:$Q63,MATCH($B$3,$D$4:$Q$4,0)+1)&gt;0),"NEW ENTRY",IF(INDEX($D63:$Q63,MATCH($B$3,$D$4:$Q$4,0)-1)=0,"absent",IF(S63/INDEX($D63:$Q63,MATCH($B$3,$D$4:$Q$4,0)-1)&lt;-0.2,"FREQUENCY LOSS",IF(AND(R63&lt;-0.1,S63&gt;=0),"WIN",IF(R63&gt;0.1,"LOSS",IF(S63/INDEX($D63:$Q63,MATCH($B$3,$D$4:$Q$4,0)-1)&gt;0.2,"FREQUENCY GAIN","hold")))))))),"")</f>
        <v/>
      </c>
    </row>
    <row r="64" ht="15" customHeight="1" s="65">
      <c r="A64" s="72" t="inlineStr">
        <is>
          <t>phlebotomy technician classes</t>
        </is>
      </c>
      <c r="B64" s="72" t="inlineStr">
        <is>
          <t>Phlebotomy</t>
        </is>
      </c>
      <c r="C64" s="72" t="inlineStr">
        <is>
          <t>Gemini</t>
        </is>
      </c>
      <c r="D64" s="99" t="n">
        <v>1.14</v>
      </c>
      <c r="E64" s="100" t="n">
        <v>31</v>
      </c>
      <c r="F64" s="99" t="n">
        <v>1.06</v>
      </c>
      <c r="G64" s="100" t="n">
        <v>31</v>
      </c>
      <c r="H64" s="101" t="n"/>
      <c r="I64" s="102" t="n"/>
      <c r="J64" s="101" t="n"/>
      <c r="K64" s="102" t="n"/>
      <c r="L64" s="101" t="n"/>
      <c r="M64" s="102" t="n"/>
      <c r="N64" s="101" t="n"/>
      <c r="O64" s="102" t="n"/>
      <c r="P64" s="101" t="n"/>
      <c r="Q64" s="102" t="n"/>
      <c r="R64" s="103">
        <f>IFERROR(IF(AND(ISNUMBER(INDEX($D64:$Q64,MATCH($B$3,$D$4:$Q$4,0))),ISNUMBER(INDEX($D64:$Q64,MATCH($B$3,$D$4:$Q$4,0)-2))),INDEX($D64:$Q64,MATCH($B$3,$D$4:$Q$4,0))-INDEX($D64:$Q64,MATCH($B$3,$D$4:$Q$4,0)-2),""),"")</f>
        <v/>
      </c>
      <c r="S64" s="104">
        <f>IFERROR(IF(AND(ISNUMBER(INDEX($D64:$Q64,MATCH($B$3,$D$4:$Q$4,0)+1)),ISNUMBER(INDEX($D64:$Q64,MATCH($B$3,$D$4:$Q$4,0)-1))),INDEX($D64:$Q64,MATCH($B$3,$D$4:$Q$4,0)+1)-INDEX($D64:$Q64,MATCH($B$3,$D$4:$Q$4,0)-1),""),"")</f>
        <v/>
      </c>
      <c r="T64" s="105">
        <f>IFERROR(IF(S64="","",IF(AND(INDEX($D64:$Q64,MATCH($B$3,$D$4:$Q$4,0)+1)=0,INDEX($D64:$Q64,MATCH($B$3,$D$4:$Q$4,0)-1)&gt;0),"WENT TO ZERO",IF(AND(INDEX($D64:$Q64,MATCH($B$3,$D$4:$Q$4,0)-1)=0,INDEX($D64:$Q64,MATCH($B$3,$D$4:$Q$4,0)+1)&gt;0),"NEW ENTRY",IF(INDEX($D64:$Q64,MATCH($B$3,$D$4:$Q$4,0)-1)=0,"absent",IF(S64/INDEX($D64:$Q64,MATCH($B$3,$D$4:$Q$4,0)-1)&lt;-0.2,"FREQUENCY LOSS",IF(AND(R64&lt;-0.1,S64&gt;=0),"WIN",IF(R64&gt;0.1,"LOSS",IF(S64/INDEX($D64:$Q64,MATCH($B$3,$D$4:$Q$4,0)-1)&gt;0.2,"FREQUENCY GAIN","hold")))))))),"")</f>
        <v/>
      </c>
    </row>
    <row r="65" ht="15" customHeight="1" s="65">
      <c r="A65" s="72" t="inlineStr">
        <is>
          <t>phlebotomy technician classes</t>
        </is>
      </c>
      <c r="B65" s="72" t="inlineStr">
        <is>
          <t>Phlebotomy</t>
        </is>
      </c>
      <c r="C65" s="72" t="inlineStr">
        <is>
          <t>Google AI Overview</t>
        </is>
      </c>
      <c r="D65" s="99" t="n">
        <v>1.37</v>
      </c>
      <c r="E65" s="100" t="n">
        <v>21</v>
      </c>
      <c r="F65" s="99" t="n">
        <v>1</v>
      </c>
      <c r="G65" s="100" t="n">
        <v>22</v>
      </c>
      <c r="H65" s="101" t="n"/>
      <c r="I65" s="102" t="n"/>
      <c r="J65" s="101" t="n"/>
      <c r="K65" s="102" t="n"/>
      <c r="L65" s="101" t="n"/>
      <c r="M65" s="102" t="n"/>
      <c r="N65" s="101" t="n"/>
      <c r="O65" s="102" t="n"/>
      <c r="P65" s="101" t="n"/>
      <c r="Q65" s="102" t="n"/>
      <c r="R65" s="103">
        <f>IFERROR(IF(AND(ISNUMBER(INDEX($D65:$Q65,MATCH($B$3,$D$4:$Q$4,0))),ISNUMBER(INDEX($D65:$Q65,MATCH($B$3,$D$4:$Q$4,0)-2))),INDEX($D65:$Q65,MATCH($B$3,$D$4:$Q$4,0))-INDEX($D65:$Q65,MATCH($B$3,$D$4:$Q$4,0)-2),""),"")</f>
        <v/>
      </c>
      <c r="S65" s="104">
        <f>IFERROR(IF(AND(ISNUMBER(INDEX($D65:$Q65,MATCH($B$3,$D$4:$Q$4,0)+1)),ISNUMBER(INDEX($D65:$Q65,MATCH($B$3,$D$4:$Q$4,0)-1))),INDEX($D65:$Q65,MATCH($B$3,$D$4:$Q$4,0)+1)-INDEX($D65:$Q65,MATCH($B$3,$D$4:$Q$4,0)-1),""),"")</f>
        <v/>
      </c>
      <c r="T65" s="105">
        <f>IFERROR(IF(S65="","",IF(AND(INDEX($D65:$Q65,MATCH($B$3,$D$4:$Q$4,0)+1)=0,INDEX($D65:$Q65,MATCH($B$3,$D$4:$Q$4,0)-1)&gt;0),"WENT TO ZERO",IF(AND(INDEX($D65:$Q65,MATCH($B$3,$D$4:$Q$4,0)-1)=0,INDEX($D65:$Q65,MATCH($B$3,$D$4:$Q$4,0)+1)&gt;0),"NEW ENTRY",IF(INDEX($D65:$Q65,MATCH($B$3,$D$4:$Q$4,0)-1)=0,"absent",IF(S65/INDEX($D65:$Q65,MATCH($B$3,$D$4:$Q$4,0)-1)&lt;-0.2,"FREQUENCY LOSS",IF(AND(R65&lt;-0.1,S65&gt;=0),"WIN",IF(R65&gt;0.1,"LOSS",IF(S65/INDEX($D65:$Q65,MATCH($B$3,$D$4:$Q$4,0)-1)&gt;0.2,"FREQUENCY GAIN","hold")))))))),"")</f>
        <v/>
      </c>
    </row>
    <row r="66" ht="15" customHeight="1" s="65">
      <c r="A66" s="72" t="inlineStr">
        <is>
          <t>hvac school</t>
        </is>
      </c>
      <c r="B66" s="72" t="inlineStr">
        <is>
          <t>Trades — HVAC</t>
        </is>
      </c>
      <c r="C66" s="72" t="inlineStr">
        <is>
          <t>ChatGPT</t>
        </is>
      </c>
      <c r="D66" s="99" t="n">
        <v>1</v>
      </c>
      <c r="E66" s="100" t="n">
        <v>31</v>
      </c>
      <c r="F66" s="99" t="n">
        <v>1</v>
      </c>
      <c r="G66" s="100" t="n">
        <v>31</v>
      </c>
      <c r="H66" s="101" t="n"/>
      <c r="I66" s="102" t="n"/>
      <c r="J66" s="101" t="n"/>
      <c r="K66" s="102" t="n"/>
      <c r="L66" s="101" t="n"/>
      <c r="M66" s="102" t="n"/>
      <c r="N66" s="101" t="n"/>
      <c r="O66" s="102" t="n"/>
      <c r="P66" s="101" t="n"/>
      <c r="Q66" s="102" t="n"/>
      <c r="R66" s="103">
        <f>IFERROR(IF(AND(ISNUMBER(INDEX($D66:$Q66,MATCH($B$3,$D$4:$Q$4,0))),ISNUMBER(INDEX($D66:$Q66,MATCH($B$3,$D$4:$Q$4,0)-2))),INDEX($D66:$Q66,MATCH($B$3,$D$4:$Q$4,0))-INDEX($D66:$Q66,MATCH($B$3,$D$4:$Q$4,0)-2),""),"")</f>
        <v/>
      </c>
      <c r="S66" s="104">
        <f>IFERROR(IF(AND(ISNUMBER(INDEX($D66:$Q66,MATCH($B$3,$D$4:$Q$4,0)+1)),ISNUMBER(INDEX($D66:$Q66,MATCH($B$3,$D$4:$Q$4,0)-1))),INDEX($D66:$Q66,MATCH($B$3,$D$4:$Q$4,0)+1)-INDEX($D66:$Q66,MATCH($B$3,$D$4:$Q$4,0)-1),""),"")</f>
        <v/>
      </c>
      <c r="T66" s="105">
        <f>IFERROR(IF(S66="","",IF(AND(INDEX($D66:$Q66,MATCH($B$3,$D$4:$Q$4,0)+1)=0,INDEX($D66:$Q66,MATCH($B$3,$D$4:$Q$4,0)-1)&gt;0),"WENT TO ZERO",IF(AND(INDEX($D66:$Q66,MATCH($B$3,$D$4:$Q$4,0)-1)=0,INDEX($D66:$Q66,MATCH($B$3,$D$4:$Q$4,0)+1)&gt;0),"NEW ENTRY",IF(INDEX($D66:$Q66,MATCH($B$3,$D$4:$Q$4,0)-1)=0,"absent",IF(S66/INDEX($D66:$Q66,MATCH($B$3,$D$4:$Q$4,0)-1)&lt;-0.2,"FREQUENCY LOSS",IF(AND(R66&lt;-0.1,S66&gt;=0),"WIN",IF(R66&gt;0.1,"LOSS",IF(S66/INDEX($D66:$Q66,MATCH($B$3,$D$4:$Q$4,0)-1)&gt;0.2,"FREQUENCY GAIN","hold")))))))),"")</f>
        <v/>
      </c>
    </row>
    <row r="67" ht="15" customHeight="1" s="65">
      <c r="A67" s="72" t="inlineStr">
        <is>
          <t>hvac school</t>
        </is>
      </c>
      <c r="B67" s="72" t="inlineStr">
        <is>
          <t>Trades — HVAC</t>
        </is>
      </c>
      <c r="C67" s="72" t="inlineStr">
        <is>
          <t>Gemini</t>
        </is>
      </c>
      <c r="D67" s="99" t="n">
        <v>1</v>
      </c>
      <c r="E67" s="100" t="n">
        <v>31</v>
      </c>
      <c r="F67" s="99" t="n">
        <v>1</v>
      </c>
      <c r="G67" s="100" t="n">
        <v>30</v>
      </c>
      <c r="H67" s="101" t="n"/>
      <c r="I67" s="102" t="n"/>
      <c r="J67" s="101" t="n"/>
      <c r="K67" s="102" t="n"/>
      <c r="L67" s="101" t="n"/>
      <c r="M67" s="102" t="n"/>
      <c r="N67" s="101" t="n"/>
      <c r="O67" s="102" t="n"/>
      <c r="P67" s="101" t="n"/>
      <c r="Q67" s="102" t="n"/>
      <c r="R67" s="103">
        <f>IFERROR(IF(AND(ISNUMBER(INDEX($D67:$Q67,MATCH($B$3,$D$4:$Q$4,0))),ISNUMBER(INDEX($D67:$Q67,MATCH($B$3,$D$4:$Q$4,0)-2))),INDEX($D67:$Q67,MATCH($B$3,$D$4:$Q$4,0))-INDEX($D67:$Q67,MATCH($B$3,$D$4:$Q$4,0)-2),""),"")</f>
        <v/>
      </c>
      <c r="S67" s="104">
        <f>IFERROR(IF(AND(ISNUMBER(INDEX($D67:$Q67,MATCH($B$3,$D$4:$Q$4,0)+1)),ISNUMBER(INDEX($D67:$Q67,MATCH($B$3,$D$4:$Q$4,0)-1))),INDEX($D67:$Q67,MATCH($B$3,$D$4:$Q$4,0)+1)-INDEX($D67:$Q67,MATCH($B$3,$D$4:$Q$4,0)-1),""),"")</f>
        <v/>
      </c>
      <c r="T67" s="105">
        <f>IFERROR(IF(S67="","",IF(AND(INDEX($D67:$Q67,MATCH($B$3,$D$4:$Q$4,0)+1)=0,INDEX($D67:$Q67,MATCH($B$3,$D$4:$Q$4,0)-1)&gt;0),"WENT TO ZERO",IF(AND(INDEX($D67:$Q67,MATCH($B$3,$D$4:$Q$4,0)-1)=0,INDEX($D67:$Q67,MATCH($B$3,$D$4:$Q$4,0)+1)&gt;0),"NEW ENTRY",IF(INDEX($D67:$Q67,MATCH($B$3,$D$4:$Q$4,0)-1)=0,"absent",IF(S67/INDEX($D67:$Q67,MATCH($B$3,$D$4:$Q$4,0)-1)&lt;-0.2,"FREQUENCY LOSS",IF(AND(R67&lt;-0.1,S67&gt;=0),"WIN",IF(R67&gt;0.1,"LOSS",IF(S67/INDEX($D67:$Q67,MATCH($B$3,$D$4:$Q$4,0)-1)&gt;0.2,"FREQUENCY GAIN","hold")))))))),"")</f>
        <v/>
      </c>
    </row>
    <row r="68" ht="15" customHeight="1" s="65">
      <c r="A68" s="72" t="inlineStr">
        <is>
          <t>hvac school</t>
        </is>
      </c>
      <c r="B68" s="72" t="inlineStr">
        <is>
          <t>Trades — HVAC</t>
        </is>
      </c>
      <c r="C68" s="72" t="inlineStr">
        <is>
          <t>Google AI Overview</t>
        </is>
      </c>
      <c r="D68" s="99" t="n">
        <v>1</v>
      </c>
      <c r="E68" s="100" t="n">
        <v>29</v>
      </c>
      <c r="F68" s="99" t="n">
        <v>1.09</v>
      </c>
      <c r="G68" s="100" t="n">
        <v>21</v>
      </c>
      <c r="H68" s="101" t="n"/>
      <c r="I68" s="102" t="n"/>
      <c r="J68" s="101" t="n"/>
      <c r="K68" s="102" t="n"/>
      <c r="L68" s="101" t="n"/>
      <c r="M68" s="102" t="n"/>
      <c r="N68" s="101" t="n"/>
      <c r="O68" s="102" t="n"/>
      <c r="P68" s="101" t="n"/>
      <c r="Q68" s="102" t="n"/>
      <c r="R68" s="103">
        <f>IFERROR(IF(AND(ISNUMBER(INDEX($D68:$Q68,MATCH($B$3,$D$4:$Q$4,0))),ISNUMBER(INDEX($D68:$Q68,MATCH($B$3,$D$4:$Q$4,0)-2))),INDEX($D68:$Q68,MATCH($B$3,$D$4:$Q$4,0))-INDEX($D68:$Q68,MATCH($B$3,$D$4:$Q$4,0)-2),""),"")</f>
        <v/>
      </c>
      <c r="S68" s="104">
        <f>IFERROR(IF(AND(ISNUMBER(INDEX($D68:$Q68,MATCH($B$3,$D$4:$Q$4,0)+1)),ISNUMBER(INDEX($D68:$Q68,MATCH($B$3,$D$4:$Q$4,0)-1))),INDEX($D68:$Q68,MATCH($B$3,$D$4:$Q$4,0)+1)-INDEX($D68:$Q68,MATCH($B$3,$D$4:$Q$4,0)-1),""),"")</f>
        <v/>
      </c>
      <c r="T68" s="105">
        <f>IFERROR(IF(S68="","",IF(AND(INDEX($D68:$Q68,MATCH($B$3,$D$4:$Q$4,0)+1)=0,INDEX($D68:$Q68,MATCH($B$3,$D$4:$Q$4,0)-1)&gt;0),"WENT TO ZERO",IF(AND(INDEX($D68:$Q68,MATCH($B$3,$D$4:$Q$4,0)-1)=0,INDEX($D68:$Q68,MATCH($B$3,$D$4:$Q$4,0)+1)&gt;0),"NEW ENTRY",IF(INDEX($D68:$Q68,MATCH($B$3,$D$4:$Q$4,0)-1)=0,"absent",IF(S68/INDEX($D68:$Q68,MATCH($B$3,$D$4:$Q$4,0)-1)&lt;-0.2,"FREQUENCY LOSS",IF(AND(R68&lt;-0.1,S68&gt;=0),"WIN",IF(R68&gt;0.1,"LOSS",IF(S68/INDEX($D68:$Q68,MATCH($B$3,$D$4:$Q$4,0)-1)&gt;0.2,"FREQUENCY GAIN","hold")))))))),"")</f>
        <v/>
      </c>
    </row>
    <row r="69" ht="15" customHeight="1" s="65">
      <c r="A69" s="72" t="inlineStr">
        <is>
          <t>radiology tech programs in ohio online</t>
        </is>
      </c>
      <c r="B69" s="72" t="inlineStr">
        <is>
          <t>ONLINE — imaging</t>
        </is>
      </c>
      <c r="C69" s="72" t="inlineStr">
        <is>
          <t>ChatGPT</t>
        </is>
      </c>
      <c r="D69" s="99" t="n">
        <v>1.84</v>
      </c>
      <c r="E69" s="100" t="n">
        <v>23</v>
      </c>
      <c r="F69" s="99" t="n">
        <v>1.61</v>
      </c>
      <c r="G69" s="100" t="n">
        <v>29</v>
      </c>
      <c r="H69" s="101" t="n"/>
      <c r="I69" s="102" t="n"/>
      <c r="J69" s="101" t="n"/>
      <c r="K69" s="102" t="n"/>
      <c r="L69" s="101" t="n"/>
      <c r="M69" s="102" t="n"/>
      <c r="N69" s="101" t="n"/>
      <c r="O69" s="102" t="n"/>
      <c r="P69" s="101" t="n"/>
      <c r="Q69" s="102" t="n"/>
      <c r="R69" s="103">
        <f>IFERROR(IF(AND(ISNUMBER(INDEX($D69:$Q69,MATCH($B$3,$D$4:$Q$4,0))),ISNUMBER(INDEX($D69:$Q69,MATCH($B$3,$D$4:$Q$4,0)-2))),INDEX($D69:$Q69,MATCH($B$3,$D$4:$Q$4,0))-INDEX($D69:$Q69,MATCH($B$3,$D$4:$Q$4,0)-2),""),"")</f>
        <v/>
      </c>
      <c r="S69" s="104">
        <f>IFERROR(IF(AND(ISNUMBER(INDEX($D69:$Q69,MATCH($B$3,$D$4:$Q$4,0)+1)),ISNUMBER(INDEX($D69:$Q69,MATCH($B$3,$D$4:$Q$4,0)-1))),INDEX($D69:$Q69,MATCH($B$3,$D$4:$Q$4,0)+1)-INDEX($D69:$Q69,MATCH($B$3,$D$4:$Q$4,0)-1),""),"")</f>
        <v/>
      </c>
      <c r="T69" s="105">
        <f>IFERROR(IF(S69="","",IF(AND(INDEX($D69:$Q69,MATCH($B$3,$D$4:$Q$4,0)+1)=0,INDEX($D69:$Q69,MATCH($B$3,$D$4:$Q$4,0)-1)&gt;0),"WENT TO ZERO",IF(AND(INDEX($D69:$Q69,MATCH($B$3,$D$4:$Q$4,0)-1)=0,INDEX($D69:$Q69,MATCH($B$3,$D$4:$Q$4,0)+1)&gt;0),"NEW ENTRY",IF(INDEX($D69:$Q69,MATCH($B$3,$D$4:$Q$4,0)-1)=0,"absent",IF(S69/INDEX($D69:$Q69,MATCH($B$3,$D$4:$Q$4,0)-1)&lt;-0.2,"FREQUENCY LOSS",IF(AND(R69&lt;-0.1,S69&gt;=0),"WIN",IF(R69&gt;0.1,"LOSS",IF(S69/INDEX($D69:$Q69,MATCH($B$3,$D$4:$Q$4,0)-1)&gt;0.2,"FREQUENCY GAIN","hold")))))))),"")</f>
        <v/>
      </c>
    </row>
    <row r="70" ht="15" customHeight="1" s="65">
      <c r="A70" s="72" t="inlineStr">
        <is>
          <t>radiology tech programs in ohio online</t>
        </is>
      </c>
      <c r="B70" s="72" t="inlineStr">
        <is>
          <t>ONLINE — imaging</t>
        </is>
      </c>
      <c r="C70" s="72" t="inlineStr">
        <is>
          <t>Gemini</t>
        </is>
      </c>
      <c r="D70" s="99" t="n">
        <v>2.19</v>
      </c>
      <c r="E70" s="100" t="n">
        <v>25</v>
      </c>
      <c r="F70" s="99" t="n">
        <v>2</v>
      </c>
      <c r="G70" s="100" t="n">
        <v>24</v>
      </c>
      <c r="H70" s="101" t="n"/>
      <c r="I70" s="102" t="n"/>
      <c r="J70" s="101" t="n"/>
      <c r="K70" s="102" t="n"/>
      <c r="L70" s="101" t="n"/>
      <c r="M70" s="102" t="n"/>
      <c r="N70" s="101" t="n"/>
      <c r="O70" s="102" t="n"/>
      <c r="P70" s="101" t="n"/>
      <c r="Q70" s="102" t="n"/>
      <c r="R70" s="103">
        <f>IFERROR(IF(AND(ISNUMBER(INDEX($D70:$Q70,MATCH($B$3,$D$4:$Q$4,0))),ISNUMBER(INDEX($D70:$Q70,MATCH($B$3,$D$4:$Q$4,0)-2))),INDEX($D70:$Q70,MATCH($B$3,$D$4:$Q$4,0))-INDEX($D70:$Q70,MATCH($B$3,$D$4:$Q$4,0)-2),""),"")</f>
        <v/>
      </c>
      <c r="S70" s="104">
        <f>IFERROR(IF(AND(ISNUMBER(INDEX($D70:$Q70,MATCH($B$3,$D$4:$Q$4,0)+1)),ISNUMBER(INDEX($D70:$Q70,MATCH($B$3,$D$4:$Q$4,0)-1))),INDEX($D70:$Q70,MATCH($B$3,$D$4:$Q$4,0)+1)-INDEX($D70:$Q70,MATCH($B$3,$D$4:$Q$4,0)-1),""),"")</f>
        <v/>
      </c>
      <c r="T70" s="105">
        <f>IFERROR(IF(S70="","",IF(AND(INDEX($D70:$Q70,MATCH($B$3,$D$4:$Q$4,0)+1)=0,INDEX($D70:$Q70,MATCH($B$3,$D$4:$Q$4,0)-1)&gt;0),"WENT TO ZERO",IF(AND(INDEX($D70:$Q70,MATCH($B$3,$D$4:$Q$4,0)-1)=0,INDEX($D70:$Q70,MATCH($B$3,$D$4:$Q$4,0)+1)&gt;0),"NEW ENTRY",IF(INDEX($D70:$Q70,MATCH($B$3,$D$4:$Q$4,0)-1)=0,"absent",IF(S70/INDEX($D70:$Q70,MATCH($B$3,$D$4:$Q$4,0)-1)&lt;-0.2,"FREQUENCY LOSS",IF(AND(R70&lt;-0.1,S70&gt;=0),"WIN",IF(R70&gt;0.1,"LOSS",IF(S70/INDEX($D70:$Q70,MATCH($B$3,$D$4:$Q$4,0)-1)&gt;0.2,"FREQUENCY GAIN","hold")))))))),"")</f>
        <v/>
      </c>
    </row>
    <row r="71" ht="15" customHeight="1" s="65">
      <c r="A71" s="72" t="inlineStr">
        <is>
          <t>radiology tech programs in ohio online</t>
        </is>
      </c>
      <c r="B71" s="72" t="inlineStr">
        <is>
          <t>ONLINE — imaging</t>
        </is>
      </c>
      <c r="C71" s="72" t="inlineStr">
        <is>
          <t>Google AI Overview</t>
        </is>
      </c>
      <c r="D71" s="99" t="n">
        <v>1</v>
      </c>
      <c r="E71" s="100" t="n">
        <v>2</v>
      </c>
      <c r="F71" s="99" t="n">
        <v>2.92</v>
      </c>
      <c r="G71" s="100" t="n">
        <v>11</v>
      </c>
      <c r="H71" s="101" t="n"/>
      <c r="I71" s="102" t="n"/>
      <c r="J71" s="101" t="n"/>
      <c r="K71" s="102" t="n"/>
      <c r="L71" s="101" t="n"/>
      <c r="M71" s="102" t="n"/>
      <c r="N71" s="101" t="n"/>
      <c r="O71" s="102" t="n"/>
      <c r="P71" s="101" t="n"/>
      <c r="Q71" s="102" t="n"/>
      <c r="R71" s="103">
        <f>IFERROR(IF(AND(ISNUMBER(INDEX($D71:$Q71,MATCH($B$3,$D$4:$Q$4,0))),ISNUMBER(INDEX($D71:$Q71,MATCH($B$3,$D$4:$Q$4,0)-2))),INDEX($D71:$Q71,MATCH($B$3,$D$4:$Q$4,0))-INDEX($D71:$Q71,MATCH($B$3,$D$4:$Q$4,0)-2),""),"")</f>
        <v/>
      </c>
      <c r="S71" s="104">
        <f>IFERROR(IF(AND(ISNUMBER(INDEX($D71:$Q71,MATCH($B$3,$D$4:$Q$4,0)+1)),ISNUMBER(INDEX($D71:$Q71,MATCH($B$3,$D$4:$Q$4,0)-1))),INDEX($D71:$Q71,MATCH($B$3,$D$4:$Q$4,0)+1)-INDEX($D71:$Q71,MATCH($B$3,$D$4:$Q$4,0)-1),""),"")</f>
        <v/>
      </c>
      <c r="T71" s="105">
        <f>IFERROR(IF(S71="","",IF(AND(INDEX($D71:$Q71,MATCH($B$3,$D$4:$Q$4,0)+1)=0,INDEX($D71:$Q71,MATCH($B$3,$D$4:$Q$4,0)-1)&gt;0),"WENT TO ZERO",IF(AND(INDEX($D71:$Q71,MATCH($B$3,$D$4:$Q$4,0)-1)=0,INDEX($D71:$Q71,MATCH($B$3,$D$4:$Q$4,0)+1)&gt;0),"NEW ENTRY",IF(INDEX($D71:$Q71,MATCH($B$3,$D$4:$Q$4,0)-1)=0,"absent",IF(S71/INDEX($D71:$Q71,MATCH($B$3,$D$4:$Q$4,0)-1)&lt;-0.2,"FREQUENCY LOSS",IF(AND(R71&lt;-0.1,S71&gt;=0),"WIN",IF(R71&gt;0.1,"LOSS",IF(S71/INDEX($D71:$Q71,MATCH($B$3,$D$4:$Q$4,0)-1)&gt;0.2,"FREQUENCY GAIN","hold")))))))),"")</f>
        <v/>
      </c>
    </row>
    <row r="72" ht="15" customHeight="1" s="65">
      <c r="A72" s="72" t="inlineStr">
        <is>
          <t>technical schools near me</t>
        </is>
      </c>
      <c r="B72" s="72" t="inlineStr">
        <is>
          <t>Trades — discovery</t>
        </is>
      </c>
      <c r="C72" s="72" t="inlineStr">
        <is>
          <t>ChatGPT</t>
        </is>
      </c>
      <c r="D72" s="99" t="n">
        <v>1</v>
      </c>
      <c r="E72" s="100" t="n">
        <v>31</v>
      </c>
      <c r="F72" s="99" t="n">
        <v>1.08</v>
      </c>
      <c r="G72" s="100" t="n">
        <v>31</v>
      </c>
      <c r="H72" s="101" t="n"/>
      <c r="I72" s="102" t="n"/>
      <c r="J72" s="101" t="n"/>
      <c r="K72" s="102" t="n"/>
      <c r="L72" s="101" t="n"/>
      <c r="M72" s="102" t="n"/>
      <c r="N72" s="101" t="n"/>
      <c r="O72" s="102" t="n"/>
      <c r="P72" s="101" t="n"/>
      <c r="Q72" s="102" t="n"/>
      <c r="R72" s="103">
        <f>IFERROR(IF(AND(ISNUMBER(INDEX($D72:$Q72,MATCH($B$3,$D$4:$Q$4,0))),ISNUMBER(INDEX($D72:$Q72,MATCH($B$3,$D$4:$Q$4,0)-2))),INDEX($D72:$Q72,MATCH($B$3,$D$4:$Q$4,0))-INDEX($D72:$Q72,MATCH($B$3,$D$4:$Q$4,0)-2),""),"")</f>
        <v/>
      </c>
      <c r="S72" s="104">
        <f>IFERROR(IF(AND(ISNUMBER(INDEX($D72:$Q72,MATCH($B$3,$D$4:$Q$4,0)+1)),ISNUMBER(INDEX($D72:$Q72,MATCH($B$3,$D$4:$Q$4,0)-1))),INDEX($D72:$Q72,MATCH($B$3,$D$4:$Q$4,0)+1)-INDEX($D72:$Q72,MATCH($B$3,$D$4:$Q$4,0)-1),""),"")</f>
        <v/>
      </c>
      <c r="T72" s="105">
        <f>IFERROR(IF(S72="","",IF(AND(INDEX($D72:$Q72,MATCH($B$3,$D$4:$Q$4,0)+1)=0,INDEX($D72:$Q72,MATCH($B$3,$D$4:$Q$4,0)-1)&gt;0),"WENT TO ZERO",IF(AND(INDEX($D72:$Q72,MATCH($B$3,$D$4:$Q$4,0)-1)=0,INDEX($D72:$Q72,MATCH($B$3,$D$4:$Q$4,0)+1)&gt;0),"NEW ENTRY",IF(INDEX($D72:$Q72,MATCH($B$3,$D$4:$Q$4,0)-1)=0,"absent",IF(S72/INDEX($D72:$Q72,MATCH($B$3,$D$4:$Q$4,0)-1)&lt;-0.2,"FREQUENCY LOSS",IF(AND(R72&lt;-0.1,S72&gt;=0),"WIN",IF(R72&gt;0.1,"LOSS",IF(S72/INDEX($D72:$Q72,MATCH($B$3,$D$4:$Q$4,0)-1)&gt;0.2,"FREQUENCY GAIN","hold")))))))),"")</f>
        <v/>
      </c>
    </row>
    <row r="73" ht="15" customHeight="1" s="65">
      <c r="A73" s="72" t="inlineStr">
        <is>
          <t>technical schools near me</t>
        </is>
      </c>
      <c r="B73" s="72" t="inlineStr">
        <is>
          <t>Trades — discovery</t>
        </is>
      </c>
      <c r="C73" s="72" t="inlineStr">
        <is>
          <t>Gemini</t>
        </is>
      </c>
      <c r="D73" s="99" t="n">
        <v>1</v>
      </c>
      <c r="E73" s="100" t="n">
        <v>30</v>
      </c>
      <c r="F73" s="99" t="n">
        <v>1</v>
      </c>
      <c r="G73" s="100" t="n">
        <v>30</v>
      </c>
      <c r="H73" s="101" t="n"/>
      <c r="I73" s="102" t="n"/>
      <c r="J73" s="101" t="n"/>
      <c r="K73" s="102" t="n"/>
      <c r="L73" s="101" t="n"/>
      <c r="M73" s="102" t="n"/>
      <c r="N73" s="101" t="n"/>
      <c r="O73" s="102" t="n"/>
      <c r="P73" s="101" t="n"/>
      <c r="Q73" s="102" t="n"/>
      <c r="R73" s="103">
        <f>IFERROR(IF(AND(ISNUMBER(INDEX($D73:$Q73,MATCH($B$3,$D$4:$Q$4,0))),ISNUMBER(INDEX($D73:$Q73,MATCH($B$3,$D$4:$Q$4,0)-2))),INDEX($D73:$Q73,MATCH($B$3,$D$4:$Q$4,0))-INDEX($D73:$Q73,MATCH($B$3,$D$4:$Q$4,0)-2),""),"")</f>
        <v/>
      </c>
      <c r="S73" s="104">
        <f>IFERROR(IF(AND(ISNUMBER(INDEX($D73:$Q73,MATCH($B$3,$D$4:$Q$4,0)+1)),ISNUMBER(INDEX($D73:$Q73,MATCH($B$3,$D$4:$Q$4,0)-1))),INDEX($D73:$Q73,MATCH($B$3,$D$4:$Q$4,0)+1)-INDEX($D73:$Q73,MATCH($B$3,$D$4:$Q$4,0)-1),""),"")</f>
        <v/>
      </c>
      <c r="T73" s="105">
        <f>IFERROR(IF(S73="","",IF(AND(INDEX($D73:$Q73,MATCH($B$3,$D$4:$Q$4,0)+1)=0,INDEX($D73:$Q73,MATCH($B$3,$D$4:$Q$4,0)-1)&gt;0),"WENT TO ZERO",IF(AND(INDEX($D73:$Q73,MATCH($B$3,$D$4:$Q$4,0)-1)=0,INDEX($D73:$Q73,MATCH($B$3,$D$4:$Q$4,0)+1)&gt;0),"NEW ENTRY",IF(INDEX($D73:$Q73,MATCH($B$3,$D$4:$Q$4,0)-1)=0,"absent",IF(S73/INDEX($D73:$Q73,MATCH($B$3,$D$4:$Q$4,0)-1)&lt;-0.2,"FREQUENCY LOSS",IF(AND(R73&lt;-0.1,S73&gt;=0),"WIN",IF(R73&gt;0.1,"LOSS",IF(S73/INDEX($D73:$Q73,MATCH($B$3,$D$4:$Q$4,0)-1)&gt;0.2,"FREQUENCY GAIN","hold")))))))),"")</f>
        <v/>
      </c>
    </row>
    <row r="74" ht="15" customHeight="1" s="65">
      <c r="A74" s="72" t="inlineStr">
        <is>
          <t>technical schools near me</t>
        </is>
      </c>
      <c r="B74" s="72" t="inlineStr">
        <is>
          <t>Trades — discovery</t>
        </is>
      </c>
      <c r="C74" s="72" t="inlineStr">
        <is>
          <t>Google AI Overview</t>
        </is>
      </c>
      <c r="D74" s="99" t="n">
        <v>1</v>
      </c>
      <c r="E74" s="100" t="n">
        <v>3</v>
      </c>
      <c r="F74" s="99" t="n">
        <v>1</v>
      </c>
      <c r="G74" s="100" t="n">
        <v>7</v>
      </c>
      <c r="H74" s="101" t="n"/>
      <c r="I74" s="102" t="n"/>
      <c r="J74" s="101" t="n"/>
      <c r="K74" s="102" t="n"/>
      <c r="L74" s="101" t="n"/>
      <c r="M74" s="102" t="n"/>
      <c r="N74" s="101" t="n"/>
      <c r="O74" s="102" t="n"/>
      <c r="P74" s="101" t="n"/>
      <c r="Q74" s="102" t="n"/>
      <c r="R74" s="103">
        <f>IFERROR(IF(AND(ISNUMBER(INDEX($D74:$Q74,MATCH($B$3,$D$4:$Q$4,0))),ISNUMBER(INDEX($D74:$Q74,MATCH($B$3,$D$4:$Q$4,0)-2))),INDEX($D74:$Q74,MATCH($B$3,$D$4:$Q$4,0))-INDEX($D74:$Q74,MATCH($B$3,$D$4:$Q$4,0)-2),""),"")</f>
        <v/>
      </c>
      <c r="S74" s="104">
        <f>IFERROR(IF(AND(ISNUMBER(INDEX($D74:$Q74,MATCH($B$3,$D$4:$Q$4,0)+1)),ISNUMBER(INDEX($D74:$Q74,MATCH($B$3,$D$4:$Q$4,0)-1))),INDEX($D74:$Q74,MATCH($B$3,$D$4:$Q$4,0)+1)-INDEX($D74:$Q74,MATCH($B$3,$D$4:$Q$4,0)-1),""),"")</f>
        <v/>
      </c>
      <c r="T74" s="105">
        <f>IFERROR(IF(S74="","",IF(AND(INDEX($D74:$Q74,MATCH($B$3,$D$4:$Q$4,0)+1)=0,INDEX($D74:$Q74,MATCH($B$3,$D$4:$Q$4,0)-1)&gt;0),"WENT TO ZERO",IF(AND(INDEX($D74:$Q74,MATCH($B$3,$D$4:$Q$4,0)-1)=0,INDEX($D74:$Q74,MATCH($B$3,$D$4:$Q$4,0)+1)&gt;0),"NEW ENTRY",IF(INDEX($D74:$Q74,MATCH($B$3,$D$4:$Q$4,0)-1)=0,"absent",IF(S74/INDEX($D74:$Q74,MATCH($B$3,$D$4:$Q$4,0)-1)&lt;-0.2,"FREQUENCY LOSS",IF(AND(R74&lt;-0.1,S74&gt;=0),"WIN",IF(R74&gt;0.1,"LOSS",IF(S74/INDEX($D74:$Q74,MATCH($B$3,$D$4:$Q$4,0)-1)&gt;0.2,"FREQUENCY GAIN","hold")))))))),"")</f>
        <v/>
      </c>
    </row>
    <row r="75" ht="15" customHeight="1" s="65">
      <c r="A75" s="72" t="inlineStr">
        <is>
          <t>trade school for surgical tech near me</t>
        </is>
      </c>
      <c r="B75" s="72" t="inlineStr">
        <is>
          <t>Surgical tech</t>
        </is>
      </c>
      <c r="C75" s="72" t="inlineStr">
        <is>
          <t>ChatGPT</t>
        </is>
      </c>
      <c r="D75" s="99" t="n">
        <v>1</v>
      </c>
      <c r="E75" s="100" t="n">
        <v>30</v>
      </c>
      <c r="F75" s="99" t="n">
        <v>1</v>
      </c>
      <c r="G75" s="100" t="n">
        <v>29</v>
      </c>
      <c r="H75" s="101" t="n"/>
      <c r="I75" s="102" t="n"/>
      <c r="J75" s="101" t="n"/>
      <c r="K75" s="102" t="n"/>
      <c r="L75" s="101" t="n"/>
      <c r="M75" s="102" t="n"/>
      <c r="N75" s="101" t="n"/>
      <c r="O75" s="102" t="n"/>
      <c r="P75" s="101" t="n"/>
      <c r="Q75" s="102" t="n"/>
      <c r="R75" s="103">
        <f>IFERROR(IF(AND(ISNUMBER(INDEX($D75:$Q75,MATCH($B$3,$D$4:$Q$4,0))),ISNUMBER(INDEX($D75:$Q75,MATCH($B$3,$D$4:$Q$4,0)-2))),INDEX($D75:$Q75,MATCH($B$3,$D$4:$Q$4,0))-INDEX($D75:$Q75,MATCH($B$3,$D$4:$Q$4,0)-2),""),"")</f>
        <v/>
      </c>
      <c r="S75" s="104">
        <f>IFERROR(IF(AND(ISNUMBER(INDEX($D75:$Q75,MATCH($B$3,$D$4:$Q$4,0)+1)),ISNUMBER(INDEX($D75:$Q75,MATCH($B$3,$D$4:$Q$4,0)-1))),INDEX($D75:$Q75,MATCH($B$3,$D$4:$Q$4,0)+1)-INDEX($D75:$Q75,MATCH($B$3,$D$4:$Q$4,0)-1),""),"")</f>
        <v/>
      </c>
      <c r="T75" s="105">
        <f>IFERROR(IF(S75="","",IF(AND(INDEX($D75:$Q75,MATCH($B$3,$D$4:$Q$4,0)+1)=0,INDEX($D75:$Q75,MATCH($B$3,$D$4:$Q$4,0)-1)&gt;0),"WENT TO ZERO",IF(AND(INDEX($D75:$Q75,MATCH($B$3,$D$4:$Q$4,0)-1)=0,INDEX($D75:$Q75,MATCH($B$3,$D$4:$Q$4,0)+1)&gt;0),"NEW ENTRY",IF(INDEX($D75:$Q75,MATCH($B$3,$D$4:$Q$4,0)-1)=0,"absent",IF(S75/INDEX($D75:$Q75,MATCH($B$3,$D$4:$Q$4,0)-1)&lt;-0.2,"FREQUENCY LOSS",IF(AND(R75&lt;-0.1,S75&gt;=0),"WIN",IF(R75&gt;0.1,"LOSS",IF(S75/INDEX($D75:$Q75,MATCH($B$3,$D$4:$Q$4,0)-1)&gt;0.2,"FREQUENCY GAIN","hold")))))))),"")</f>
        <v/>
      </c>
    </row>
    <row r="76" ht="15" customHeight="1" s="65">
      <c r="A76" s="72" t="inlineStr">
        <is>
          <t>trade school for surgical tech near me</t>
        </is>
      </c>
      <c r="B76" s="72" t="inlineStr">
        <is>
          <t>Surgical tech</t>
        </is>
      </c>
      <c r="C76" s="72" t="inlineStr">
        <is>
          <t>Gemini</t>
        </is>
      </c>
      <c r="D76" s="99" t="n">
        <v>1.11</v>
      </c>
      <c r="E76" s="100" t="n">
        <v>30</v>
      </c>
      <c r="F76" s="99" t="n">
        <v>1</v>
      </c>
      <c r="G76" s="100" t="n">
        <v>30</v>
      </c>
      <c r="H76" s="101" t="n"/>
      <c r="I76" s="102" t="n"/>
      <c r="J76" s="101" t="n"/>
      <c r="K76" s="102" t="n"/>
      <c r="L76" s="101" t="n"/>
      <c r="M76" s="102" t="n"/>
      <c r="N76" s="101" t="n"/>
      <c r="O76" s="102" t="n"/>
      <c r="P76" s="101" t="n"/>
      <c r="Q76" s="102" t="n"/>
      <c r="R76" s="103">
        <f>IFERROR(IF(AND(ISNUMBER(INDEX($D76:$Q76,MATCH($B$3,$D$4:$Q$4,0))),ISNUMBER(INDEX($D76:$Q76,MATCH($B$3,$D$4:$Q$4,0)-2))),INDEX($D76:$Q76,MATCH($B$3,$D$4:$Q$4,0))-INDEX($D76:$Q76,MATCH($B$3,$D$4:$Q$4,0)-2),""),"")</f>
        <v/>
      </c>
      <c r="S76" s="104">
        <f>IFERROR(IF(AND(ISNUMBER(INDEX($D76:$Q76,MATCH($B$3,$D$4:$Q$4,0)+1)),ISNUMBER(INDEX($D76:$Q76,MATCH($B$3,$D$4:$Q$4,0)-1))),INDEX($D76:$Q76,MATCH($B$3,$D$4:$Q$4,0)+1)-INDEX($D76:$Q76,MATCH($B$3,$D$4:$Q$4,0)-1),""),"")</f>
        <v/>
      </c>
      <c r="T76" s="105">
        <f>IFERROR(IF(S76="","",IF(AND(INDEX($D76:$Q76,MATCH($B$3,$D$4:$Q$4,0)+1)=0,INDEX($D76:$Q76,MATCH($B$3,$D$4:$Q$4,0)-1)&gt;0),"WENT TO ZERO",IF(AND(INDEX($D76:$Q76,MATCH($B$3,$D$4:$Q$4,0)-1)=0,INDEX($D76:$Q76,MATCH($B$3,$D$4:$Q$4,0)+1)&gt;0),"NEW ENTRY",IF(INDEX($D76:$Q76,MATCH($B$3,$D$4:$Q$4,0)-1)=0,"absent",IF(S76/INDEX($D76:$Q76,MATCH($B$3,$D$4:$Q$4,0)-1)&lt;-0.2,"FREQUENCY LOSS",IF(AND(R76&lt;-0.1,S76&gt;=0),"WIN",IF(R76&gt;0.1,"LOSS",IF(S76/INDEX($D76:$Q76,MATCH($B$3,$D$4:$Q$4,0)-1)&gt;0.2,"FREQUENCY GAIN","hold")))))))),"")</f>
        <v/>
      </c>
    </row>
    <row r="77" ht="15" customHeight="1" s="65">
      <c r="A77" s="72" t="inlineStr">
        <is>
          <t>trade school for surgical tech near me</t>
        </is>
      </c>
      <c r="B77" s="72" t="inlineStr">
        <is>
          <t>Surgical tech</t>
        </is>
      </c>
      <c r="C77" s="72" t="inlineStr">
        <is>
          <t>Google AI Overview</t>
        </is>
      </c>
      <c r="D77" s="99" t="n">
        <v>1</v>
      </c>
      <c r="E77" s="100" t="n">
        <v>24</v>
      </c>
      <c r="F77" s="99" t="n">
        <v>1</v>
      </c>
      <c r="G77" s="100" t="n">
        <v>30</v>
      </c>
      <c r="H77" s="101" t="n"/>
      <c r="I77" s="102" t="n"/>
      <c r="J77" s="101" t="n"/>
      <c r="K77" s="102" t="n"/>
      <c r="L77" s="101" t="n"/>
      <c r="M77" s="102" t="n"/>
      <c r="N77" s="101" t="n"/>
      <c r="O77" s="102" t="n"/>
      <c r="P77" s="101" t="n"/>
      <c r="Q77" s="102" t="n"/>
      <c r="R77" s="103">
        <f>IFERROR(IF(AND(ISNUMBER(INDEX($D77:$Q77,MATCH($B$3,$D$4:$Q$4,0))),ISNUMBER(INDEX($D77:$Q77,MATCH($B$3,$D$4:$Q$4,0)-2))),INDEX($D77:$Q77,MATCH($B$3,$D$4:$Q$4,0))-INDEX($D77:$Q77,MATCH($B$3,$D$4:$Q$4,0)-2),""),"")</f>
        <v/>
      </c>
      <c r="S77" s="104">
        <f>IFERROR(IF(AND(ISNUMBER(INDEX($D77:$Q77,MATCH($B$3,$D$4:$Q$4,0)+1)),ISNUMBER(INDEX($D77:$Q77,MATCH($B$3,$D$4:$Q$4,0)-1))),INDEX($D77:$Q77,MATCH($B$3,$D$4:$Q$4,0)+1)-INDEX($D77:$Q77,MATCH($B$3,$D$4:$Q$4,0)-1),""),"")</f>
        <v/>
      </c>
      <c r="T77" s="105">
        <f>IFERROR(IF(S77="","",IF(AND(INDEX($D77:$Q77,MATCH($B$3,$D$4:$Q$4,0)+1)=0,INDEX($D77:$Q77,MATCH($B$3,$D$4:$Q$4,0)-1)&gt;0),"WENT TO ZERO",IF(AND(INDEX($D77:$Q77,MATCH($B$3,$D$4:$Q$4,0)-1)=0,INDEX($D77:$Q77,MATCH($B$3,$D$4:$Q$4,0)+1)&gt;0),"NEW ENTRY",IF(INDEX($D77:$Q77,MATCH($B$3,$D$4:$Q$4,0)-1)=0,"absent",IF(S77/INDEX($D77:$Q77,MATCH($B$3,$D$4:$Q$4,0)-1)&lt;-0.2,"FREQUENCY LOSS",IF(AND(R77&lt;-0.1,S77&gt;=0),"WIN",IF(R77&gt;0.1,"LOSS",IF(S77/INDEX($D77:$Q77,MATCH($B$3,$D$4:$Q$4,0)-1)&gt;0.2,"FREQUENCY GAIN","hold")))))))),"")</f>
        <v/>
      </c>
    </row>
    <row r="78" ht="15" customHeight="1" s="65">
      <c r="A78" s="72" t="inlineStr">
        <is>
          <t>surgical tech school near me</t>
        </is>
      </c>
      <c r="B78" s="72" t="inlineStr">
        <is>
          <t>Surgical tech</t>
        </is>
      </c>
      <c r="C78" s="72" t="inlineStr">
        <is>
          <t>ChatGPT</t>
        </is>
      </c>
      <c r="D78" s="99" t="n">
        <v>1</v>
      </c>
      <c r="E78" s="100" t="n">
        <v>31</v>
      </c>
      <c r="F78" s="99" t="n">
        <v>1</v>
      </c>
      <c r="G78" s="100" t="n">
        <v>31</v>
      </c>
      <c r="H78" s="101" t="n"/>
      <c r="I78" s="102" t="n"/>
      <c r="J78" s="101" t="n"/>
      <c r="K78" s="102" t="n"/>
      <c r="L78" s="101" t="n"/>
      <c r="M78" s="102" t="n"/>
      <c r="N78" s="101" t="n"/>
      <c r="O78" s="102" t="n"/>
      <c r="P78" s="101" t="n"/>
      <c r="Q78" s="102" t="n"/>
      <c r="R78" s="103">
        <f>IFERROR(IF(AND(ISNUMBER(INDEX($D78:$Q78,MATCH($B$3,$D$4:$Q$4,0))),ISNUMBER(INDEX($D78:$Q78,MATCH($B$3,$D$4:$Q$4,0)-2))),INDEX($D78:$Q78,MATCH($B$3,$D$4:$Q$4,0))-INDEX($D78:$Q78,MATCH($B$3,$D$4:$Q$4,0)-2),""),"")</f>
        <v/>
      </c>
      <c r="S78" s="104">
        <f>IFERROR(IF(AND(ISNUMBER(INDEX($D78:$Q78,MATCH($B$3,$D$4:$Q$4,0)+1)),ISNUMBER(INDEX($D78:$Q78,MATCH($B$3,$D$4:$Q$4,0)-1))),INDEX($D78:$Q78,MATCH($B$3,$D$4:$Q$4,0)+1)-INDEX($D78:$Q78,MATCH($B$3,$D$4:$Q$4,0)-1),""),"")</f>
        <v/>
      </c>
      <c r="T78" s="105">
        <f>IFERROR(IF(S78="","",IF(AND(INDEX($D78:$Q78,MATCH($B$3,$D$4:$Q$4,0)+1)=0,INDEX($D78:$Q78,MATCH($B$3,$D$4:$Q$4,0)-1)&gt;0),"WENT TO ZERO",IF(AND(INDEX($D78:$Q78,MATCH($B$3,$D$4:$Q$4,0)-1)=0,INDEX($D78:$Q78,MATCH($B$3,$D$4:$Q$4,0)+1)&gt;0),"NEW ENTRY",IF(INDEX($D78:$Q78,MATCH($B$3,$D$4:$Q$4,0)-1)=0,"absent",IF(S78/INDEX($D78:$Q78,MATCH($B$3,$D$4:$Q$4,0)-1)&lt;-0.2,"FREQUENCY LOSS",IF(AND(R78&lt;-0.1,S78&gt;=0),"WIN",IF(R78&gt;0.1,"LOSS",IF(S78/INDEX($D78:$Q78,MATCH($B$3,$D$4:$Q$4,0)-1)&gt;0.2,"FREQUENCY GAIN","hold")))))))),"")</f>
        <v/>
      </c>
    </row>
    <row r="79" ht="15" customHeight="1" s="65">
      <c r="A79" s="72" t="inlineStr">
        <is>
          <t>surgical tech school near me</t>
        </is>
      </c>
      <c r="B79" s="72" t="inlineStr">
        <is>
          <t>Surgical tech</t>
        </is>
      </c>
      <c r="C79" s="72" t="inlineStr">
        <is>
          <t>Gemini</t>
        </is>
      </c>
      <c r="D79" s="99" t="n">
        <v>1.02</v>
      </c>
      <c r="E79" s="100" t="n">
        <v>30</v>
      </c>
      <c r="F79" s="99" t="n">
        <v>1</v>
      </c>
      <c r="G79" s="100" t="n">
        <v>31</v>
      </c>
      <c r="H79" s="101" t="n"/>
      <c r="I79" s="102" t="n"/>
      <c r="J79" s="101" t="n"/>
      <c r="K79" s="102" t="n"/>
      <c r="L79" s="101" t="n"/>
      <c r="M79" s="102" t="n"/>
      <c r="N79" s="101" t="n"/>
      <c r="O79" s="102" t="n"/>
      <c r="P79" s="101" t="n"/>
      <c r="Q79" s="102" t="n"/>
      <c r="R79" s="103">
        <f>IFERROR(IF(AND(ISNUMBER(INDEX($D79:$Q79,MATCH($B$3,$D$4:$Q$4,0))),ISNUMBER(INDEX($D79:$Q79,MATCH($B$3,$D$4:$Q$4,0)-2))),INDEX($D79:$Q79,MATCH($B$3,$D$4:$Q$4,0))-INDEX($D79:$Q79,MATCH($B$3,$D$4:$Q$4,0)-2),""),"")</f>
        <v/>
      </c>
      <c r="S79" s="104">
        <f>IFERROR(IF(AND(ISNUMBER(INDEX($D79:$Q79,MATCH($B$3,$D$4:$Q$4,0)+1)),ISNUMBER(INDEX($D79:$Q79,MATCH($B$3,$D$4:$Q$4,0)-1))),INDEX($D79:$Q79,MATCH($B$3,$D$4:$Q$4,0)+1)-INDEX($D79:$Q79,MATCH($B$3,$D$4:$Q$4,0)-1),""),"")</f>
        <v/>
      </c>
      <c r="T79" s="105">
        <f>IFERROR(IF(S79="","",IF(AND(INDEX($D79:$Q79,MATCH($B$3,$D$4:$Q$4,0)+1)=0,INDEX($D79:$Q79,MATCH($B$3,$D$4:$Q$4,0)-1)&gt;0),"WENT TO ZERO",IF(AND(INDEX($D79:$Q79,MATCH($B$3,$D$4:$Q$4,0)-1)=0,INDEX($D79:$Q79,MATCH($B$3,$D$4:$Q$4,0)+1)&gt;0),"NEW ENTRY",IF(INDEX($D79:$Q79,MATCH($B$3,$D$4:$Q$4,0)-1)=0,"absent",IF(S79/INDEX($D79:$Q79,MATCH($B$3,$D$4:$Q$4,0)-1)&lt;-0.2,"FREQUENCY LOSS",IF(AND(R79&lt;-0.1,S79&gt;=0),"WIN",IF(R79&gt;0.1,"LOSS",IF(S79/INDEX($D79:$Q79,MATCH($B$3,$D$4:$Q$4,0)-1)&gt;0.2,"FREQUENCY GAIN","hold")))))))),"")</f>
        <v/>
      </c>
    </row>
    <row r="80" ht="15" customHeight="1" s="65">
      <c r="A80" s="72" t="inlineStr">
        <is>
          <t>surgical tech school near me</t>
        </is>
      </c>
      <c r="B80" s="72" t="inlineStr">
        <is>
          <t>Surgical tech</t>
        </is>
      </c>
      <c r="C80" s="72" t="inlineStr">
        <is>
          <t>Google AI Overview</t>
        </is>
      </c>
      <c r="D80" s="99" t="n">
        <v>1</v>
      </c>
      <c r="E80" s="100" t="n">
        <v>27</v>
      </c>
      <c r="F80" s="99" t="n">
        <v>1</v>
      </c>
      <c r="G80" s="100" t="n">
        <v>20</v>
      </c>
      <c r="H80" s="101" t="n"/>
      <c r="I80" s="102" t="n"/>
      <c r="J80" s="101" t="n"/>
      <c r="K80" s="102" t="n"/>
      <c r="L80" s="101" t="n"/>
      <c r="M80" s="102" t="n"/>
      <c r="N80" s="101" t="n"/>
      <c r="O80" s="102" t="n"/>
      <c r="P80" s="101" t="n"/>
      <c r="Q80" s="102" t="n"/>
      <c r="R80" s="103">
        <f>IFERROR(IF(AND(ISNUMBER(INDEX($D80:$Q80,MATCH($B$3,$D$4:$Q$4,0))),ISNUMBER(INDEX($D80:$Q80,MATCH($B$3,$D$4:$Q$4,0)-2))),INDEX($D80:$Q80,MATCH($B$3,$D$4:$Q$4,0))-INDEX($D80:$Q80,MATCH($B$3,$D$4:$Q$4,0)-2),""),"")</f>
        <v/>
      </c>
      <c r="S80" s="104">
        <f>IFERROR(IF(AND(ISNUMBER(INDEX($D80:$Q80,MATCH($B$3,$D$4:$Q$4,0)+1)),ISNUMBER(INDEX($D80:$Q80,MATCH($B$3,$D$4:$Q$4,0)-1))),INDEX($D80:$Q80,MATCH($B$3,$D$4:$Q$4,0)+1)-INDEX($D80:$Q80,MATCH($B$3,$D$4:$Q$4,0)-1),""),"")</f>
        <v/>
      </c>
      <c r="T80" s="105">
        <f>IFERROR(IF(S80="","",IF(AND(INDEX($D80:$Q80,MATCH($B$3,$D$4:$Q$4,0)+1)=0,INDEX($D80:$Q80,MATCH($B$3,$D$4:$Q$4,0)-1)&gt;0),"WENT TO ZERO",IF(AND(INDEX($D80:$Q80,MATCH($B$3,$D$4:$Q$4,0)-1)=0,INDEX($D80:$Q80,MATCH($B$3,$D$4:$Q$4,0)+1)&gt;0),"NEW ENTRY",IF(INDEX($D80:$Q80,MATCH($B$3,$D$4:$Q$4,0)-1)=0,"absent",IF(S80/INDEX($D80:$Q80,MATCH($B$3,$D$4:$Q$4,0)-1)&lt;-0.2,"FREQUENCY LOSS",IF(AND(R80&lt;-0.1,S80&gt;=0),"WIN",IF(R80&gt;0.1,"LOSS",IF(S80/INDEX($D80:$Q80,MATCH($B$3,$D$4:$Q$4,0)-1)&gt;0.2,"FREQUENCY GAIN","hold")))))))),"")</f>
        <v/>
      </c>
    </row>
    <row r="81"/>
    <row r="82" ht="15" customHeight="1" s="65">
      <c r="A82" s="106" t="inlineStr">
        <is>
          <t>MODEL SUMMARY — days with mention and days-weighted avg. position</t>
        </is>
      </c>
    </row>
    <row r="83" ht="22.35" customHeight="1" s="65">
      <c r="A83" s="97" t="inlineStr">
        <is>
          <t>Model</t>
        </is>
      </c>
      <c r="B83" s="97" t="inlineStr">
        <is>
          <t>Days Jun</t>
        </is>
      </c>
      <c r="C83" s="97" t="inlineStr">
        <is>
          <t>Days Jul</t>
        </is>
      </c>
      <c r="D83" s="97" t="inlineStr">
        <is>
          <t>Δ %</t>
        </is>
      </c>
      <c r="E83" s="97" t="inlineStr">
        <is>
          <t>Wtd pos Jun</t>
        </is>
      </c>
      <c r="F83" s="97" t="inlineStr">
        <is>
          <t>Wtd pos Jul</t>
        </is>
      </c>
      <c r="G83" s="97" t="inlineStr">
        <is>
          <t>Δ pos</t>
        </is>
      </c>
    </row>
    <row r="84" ht="15" customHeight="1" s="65">
      <c r="A84" s="107" t="inlineStr">
        <is>
          <t>ChatGPT</t>
        </is>
      </c>
      <c r="B84" s="75" t="n">
        <v>651</v>
      </c>
      <c r="C84" s="75" t="n">
        <v>652</v>
      </c>
      <c r="D84" s="89">
        <f>C84/B84-1</f>
        <v/>
      </c>
      <c r="E84" s="108" t="n">
        <v>1.4</v>
      </c>
      <c r="F84" s="108" t="n">
        <v>1.19</v>
      </c>
      <c r="G84" s="109">
        <f>F84-E84</f>
        <v/>
      </c>
    </row>
    <row r="85" ht="15" customHeight="1" s="65">
      <c r="A85" s="107" t="inlineStr">
        <is>
          <t>Gemini</t>
        </is>
      </c>
      <c r="B85" s="75" t="n">
        <v>753</v>
      </c>
      <c r="C85" s="75" t="n">
        <v>738</v>
      </c>
      <c r="D85" s="89">
        <f>C85/B85-1</f>
        <v/>
      </c>
      <c r="E85" s="108" t="n">
        <v>1.23</v>
      </c>
      <c r="F85" s="108" t="n">
        <v>1.14</v>
      </c>
      <c r="G85" s="109">
        <f>F85-E85</f>
        <v/>
      </c>
    </row>
    <row r="86" ht="15" customHeight="1" s="65">
      <c r="A86" s="107" t="inlineStr">
        <is>
          <t>Google AI Overview</t>
        </is>
      </c>
      <c r="B86" s="75" t="n">
        <v>442</v>
      </c>
      <c r="C86" s="75" t="n">
        <v>478</v>
      </c>
      <c r="D86" s="89">
        <f>C86/B86-1</f>
        <v/>
      </c>
      <c r="E86" s="108" t="n">
        <v>1.62</v>
      </c>
      <c r="F86" s="108" t="n">
        <v>1.27</v>
      </c>
      <c r="G86" s="109">
        <f>F86-E86</f>
        <v/>
      </c>
    </row>
    <row r="87" ht="15" customHeight="1" s="65">
      <c r="A87" s="110" t="inlineStr">
        <is>
          <t>ALL MODELS</t>
        </is>
      </c>
      <c r="B87" s="111" t="n">
        <v>1846</v>
      </c>
      <c r="C87" s="111" t="n">
        <v>1868</v>
      </c>
      <c r="D87" s="112">
        <f>C87/B87-1</f>
        <v/>
      </c>
      <c r="E87" s="113" t="n">
        <v>1.38</v>
      </c>
      <c r="F87" s="113" t="n">
        <v>1.19</v>
      </c>
      <c r="G87" s="114">
        <f>F87-E87</f>
        <v/>
      </c>
    </row>
    <row r="88" ht="15" customHeight="1" s="65">
      <c r="A88" s="67" t="inlineStr">
        <is>
          <t>Δ pos negative = improvement. Every model improved position; only Gemini lost frequency.</t>
        </is>
      </c>
    </row>
    <row r="89"/>
    <row r="90" ht="15" customHeight="1" s="65">
      <c r="A90" s="106" t="inlineStr">
        <is>
          <t>WHAT JULY ACTUALLY SAYS (all 3 models)</t>
        </is>
      </c>
    </row>
    <row r="91" ht="15" customHeight="1" s="65">
      <c r="A91" s="67" t="inlineStr">
        <is>
          <t>Total days with mention 1,846 &gt; 1,868 (+1.2%). That reproduces the UI's 'Responses with mentions 1,868 +22' card exactly — this workbook now checks the tool.</t>
        </is>
      </c>
    </row>
    <row r="92" ht="15" customHeight="1" s="65">
      <c r="A92" s="85" t="inlineStr">
        <is>
          <t>Blended days-weighted position 1.38 &gt; 1.19. The UI card reads 1.2 with '+0.2' in green — so Semrush shows the MAGNITUDE of improvement as a positive. Do not copy that sign into the deck without explaining it.</t>
        </is>
      </c>
    </row>
    <row r="93" ht="15" customHeight="1" s="65">
      <c r="A93" s="85" t="inlineStr">
        <is>
          <t>GOOGLE AI OVERVIEWS IS THE WIN. Days +8.1% (442&gt;478) and position 1.625&gt;1.272 — the largest gain of any model.</t>
        </is>
      </c>
    </row>
    <row r="94" ht="15" customHeight="1" s="65">
      <c r="A94" s="67" t="inlineStr">
        <is>
          <t xml:space="preserve">     The June deck called AI Overviews 'lagging' and recommended SEO/AEO fixes. This is that recommendation paying off. Say so.</t>
        </is>
      </c>
    </row>
    <row r="95" ht="15" customHeight="1" s="65">
      <c r="A95" s="67" t="inlineStr">
        <is>
          <t>Gemini is the only model losing frequency (753&gt;738, -2.0%) but still holds the best position (1.141) and the most days. Watch, don't alarm.</t>
        </is>
      </c>
    </row>
    <row r="96" ht="15" customHeight="1" s="65">
      <c r="A96" s="67" t="inlineStr">
        <is>
          <t>ChatGPT essentially flat: 651&gt;652 (+0.2%), position 1.395&gt;1.187.</t>
        </is>
      </c>
    </row>
    <row r="97" ht="15" customHeight="1" s="65">
      <c r="A97" s="85" t="inlineStr">
        <is>
          <t>ONLINE CLUSTER, corrected for all models: 436 &gt; 432 days (-1%) vs non-online 1410 &gt; 1436 (+2%).</t>
        </is>
      </c>
    </row>
    <row r="98" ht="15" customHeight="1" s="65">
      <c r="A98" s="67" t="inlineStr">
        <is>
          <t xml:space="preserve">     Softer than the ChatGPT-only read suggested (-4%). Real but modest: a 3-point gap against the rest of the set.</t>
        </is>
      </c>
    </row>
    <row r="99" ht="15" customHeight="1" s="65">
      <c r="A99" s="67" t="inlineStr">
        <is>
          <t xml:space="preserve">     Split by model: ChatGPT -4%, Gemini -4%, Google AI Overview +8%.</t>
        </is>
      </c>
    </row>
    <row r="100" ht="15" customHeight="1" s="65">
      <c r="A100" s="85" t="inlineStr">
        <is>
          <t>STRUCTURAL GAP: 'pharmacy technician program' has never appeared in Google AI Overviews — 0 days in both June and July, while sitting at position 1.00 on ChatGPT and Gemini.</t>
        </is>
      </c>
    </row>
    <row r="101" ht="15" customHeight="1" s="65">
      <c r="A101" s="67" t="inlineStr">
        <is>
          <t>'community colleges in ohio' went 3 days &gt; 0 in Google AI Overviews. Small base, but it is the only outright disappearance.</t>
        </is>
      </c>
    </row>
    <row r="102" ht="15" customHeight="1" s="65">
      <c r="A102" s="67" t="inlineStr">
        <is>
          <t>'cna classes near me' entered Google AI Overviews at position 1.00 for 8 days, from zero in June.</t>
        </is>
      </c>
    </row>
  </sheetData>
  <conditionalFormatting sqref="T6:T80">
    <cfRule type="cellIs" rank="0" priority="2" equalAverage="0" operator="equal" aboveAverage="0" dxfId="0" text="" percent="0" bottom="0">
      <formula>"FREQUENCY LOSS"</formula>
    </cfRule>
    <cfRule type="cellIs" rank="0" priority="3" equalAverage="0" operator="equal" aboveAverage="0" dxfId="0" text="" percent="0" bottom="0">
      <formula>"LOSS"</formula>
    </cfRule>
    <cfRule type="cellIs" rank="0" priority="4" equalAverage="0" operator="equal" aboveAverage="0" dxfId="1" text="" percent="0" bottom="0">
      <formula>"WENT TO ZERO"</formula>
    </cfRule>
    <cfRule type="cellIs" rank="0" priority="5" equalAverage="0" operator="equal" aboveAverage="0" dxfId="2" text="" percent="0" bottom="0">
      <formula>"WIN"</formula>
    </cfRule>
    <cfRule type="cellIs" rank="0" priority="6" equalAverage="0" operator="equal" aboveAverage="0" dxfId="2" text="" percent="0" bottom="0">
      <formula>"FREQUENCY GAIN"</formula>
    </cfRule>
    <cfRule type="cellIs" rank="0" priority="7" equalAverage="0" operator="equal" aboveAverage="0" dxfId="2" text="" percent="0" bottom="0">
      <formula>"NEW ENTRY"</formula>
    </cfRule>
  </conditionalFormatting>
  <dataValidations count="1">
    <dataValidation sqref="B3" showDropDown="0" showInputMessage="0" showErrorMessage="0" allowBlank="0" type="list" errorStyle="stop" operator="between">
      <formula1>"Jun-26,Jul-26,Aug-26,Sep-26,Oct-26,Nov-26,Dec-26"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64" min="1" max="1"/>
    <col width="13" customWidth="1" style="64" min="2" max="7"/>
  </cols>
  <sheetData>
    <row r="1" ht="17.25" customHeight="1" s="65">
      <c r="A1" s="66" t="inlineStr">
        <is>
          <t>Program-level mentions — Prompt Tracking &gt; Rankings &gt; Product Rankings</t>
        </is>
      </c>
    </row>
    <row r="2" ht="15" customHeight="1" s="65">
      <c r="A2" s="85" t="inlineStr">
        <is>
          <t>The institution is being named MORE while almost every individual program is named LESS. That is the report's sharpest finding and it points straight at program-page content.</t>
        </is>
      </c>
    </row>
    <row r="3"/>
    <row r="4" ht="15" customHeight="1" s="65">
      <c r="A4" s="97" t="inlineStr">
        <is>
          <t>Product / Program</t>
        </is>
      </c>
      <c r="B4" s="97" t="inlineStr">
        <is>
          <t>Mentions Jul</t>
        </is>
      </c>
      <c r="C4" s="97" t="inlineStr">
        <is>
          <t>Mentions Jun</t>
        </is>
      </c>
      <c r="D4" s="97" t="inlineStr">
        <is>
          <t>Δ</t>
        </is>
      </c>
      <c r="E4" s="97" t="inlineStr">
        <is>
          <t>SoV Jul</t>
        </is>
      </c>
      <c r="F4" s="97" t="inlineStr">
        <is>
          <t>SoV Jun</t>
        </is>
      </c>
      <c r="G4" s="97" t="inlineStr">
        <is>
          <t>Δ SoV (pp)</t>
        </is>
      </c>
    </row>
    <row r="5" ht="15" customHeight="1" s="65">
      <c r="A5" s="72" t="inlineStr">
        <is>
          <t>Cedar Valley Technical College</t>
        </is>
      </c>
      <c r="B5" s="115" t="n">
        <v>1712</v>
      </c>
      <c r="C5" s="115" t="n">
        <v>1631</v>
      </c>
      <c r="D5" s="116">
        <f>B5-C5</f>
        <v/>
      </c>
      <c r="E5" s="117" t="n">
        <v>0.634</v>
      </c>
      <c r="F5" s="117" t="n">
        <v>0.601</v>
      </c>
      <c r="G5" s="118">
        <f>E5-F5</f>
        <v/>
      </c>
    </row>
    <row r="6" ht="15" customHeight="1" s="65">
      <c r="A6" s="72" t="inlineStr">
        <is>
          <t>Medical Coding Program</t>
        </is>
      </c>
      <c r="B6" s="115" t="n">
        <v>49</v>
      </c>
      <c r="C6" s="115" t="n">
        <v>61</v>
      </c>
      <c r="D6" s="116">
        <f>B6-C6</f>
        <v/>
      </c>
      <c r="E6" s="117" t="n">
        <v>0.02</v>
      </c>
      <c r="F6" s="117" t="n">
        <v>0.02</v>
      </c>
      <c r="G6" s="118">
        <f>E6-F6</f>
        <v/>
      </c>
    </row>
    <row r="7" ht="15" customHeight="1" s="65">
      <c r="A7" s="72" t="inlineStr">
        <is>
          <t>Associate Degree in Surgical Technology</t>
        </is>
      </c>
      <c r="B7" s="115" t="n">
        <v>44</v>
      </c>
      <c r="C7" s="115" t="n">
        <v>58</v>
      </c>
      <c r="D7" s="116">
        <f>B7-C7</f>
        <v/>
      </c>
      <c r="E7" s="117" t="n">
        <v>0.02</v>
      </c>
      <c r="F7" s="119" t="n"/>
      <c r="G7" s="119" t="n"/>
    </row>
    <row r="8" ht="15" customHeight="1" s="65">
      <c r="A8" s="72" t="inlineStr">
        <is>
          <t>HVAC Program</t>
        </is>
      </c>
      <c r="B8" s="115" t="n">
        <v>33</v>
      </c>
      <c r="C8" s="115" t="n">
        <v>38</v>
      </c>
      <c r="D8" s="116">
        <f>B8-C8</f>
        <v/>
      </c>
      <c r="E8" s="117" t="n">
        <v>0.02</v>
      </c>
      <c r="F8" s="119" t="n"/>
      <c r="G8" s="119" t="n"/>
    </row>
    <row r="9" ht="15" customHeight="1" s="65">
      <c r="A9" s="72" t="inlineStr">
        <is>
          <t>AAS in Veterinary Technology</t>
        </is>
      </c>
      <c r="B9" s="115" t="n">
        <v>29</v>
      </c>
      <c r="C9" s="115" t="n">
        <v>18</v>
      </c>
      <c r="D9" s="116">
        <f>B9-C9</f>
        <v/>
      </c>
      <c r="E9" s="117" t="n">
        <v>0.02</v>
      </c>
      <c r="F9" s="117" t="n">
        <v>0.01</v>
      </c>
      <c r="G9" s="118">
        <f>E9-F9</f>
        <v/>
      </c>
    </row>
    <row r="10" ht="15" customHeight="1" s="65">
      <c r="A10" s="72" t="inlineStr">
        <is>
          <t>Phlebotomy Program</t>
        </is>
      </c>
      <c r="B10" s="115" t="n">
        <v>23</v>
      </c>
      <c r="C10" s="115" t="n">
        <v>31</v>
      </c>
      <c r="D10" s="116">
        <f>B10-C10</f>
        <v/>
      </c>
      <c r="E10" s="117" t="n">
        <v>0.02</v>
      </c>
      <c r="F10" s="117" t="n">
        <v>0.02</v>
      </c>
      <c r="G10" s="118">
        <f>E10-F10</f>
        <v/>
      </c>
    </row>
    <row r="11" ht="15" customHeight="1" s="65">
      <c r="A11" s="72" t="inlineStr">
        <is>
          <t>Pharmacy Technician</t>
        </is>
      </c>
      <c r="B11" s="115" t="n">
        <v>18</v>
      </c>
      <c r="C11" s="115" t="n">
        <v>20</v>
      </c>
      <c r="D11" s="116">
        <f>B11-C11</f>
        <v/>
      </c>
      <c r="E11" s="117" t="n">
        <v>0.01</v>
      </c>
      <c r="F11" s="117" t="n">
        <v>0.01</v>
      </c>
      <c r="G11" s="118">
        <f>E11-F11</f>
        <v/>
      </c>
    </row>
    <row r="12" ht="15" customHeight="1" s="65">
      <c r="A12" s="72" t="inlineStr">
        <is>
          <t>Practical Nursing (LPN) Program</t>
        </is>
      </c>
      <c r="B12" s="115" t="n">
        <v>17</v>
      </c>
      <c r="C12" s="115" t="n">
        <v>27</v>
      </c>
      <c r="D12" s="116">
        <f>B12-C12</f>
        <v/>
      </c>
      <c r="E12" s="117" t="n">
        <v>0.02</v>
      </c>
      <c r="F12" s="117" t="n">
        <v>0.02</v>
      </c>
      <c r="G12" s="118">
        <f>E12-F12</f>
        <v/>
      </c>
    </row>
    <row r="13" ht="15" customHeight="1" s="65">
      <c r="A13" s="72" t="inlineStr">
        <is>
          <t>Nursing Assistant I Program</t>
        </is>
      </c>
      <c r="B13" s="115" t="n">
        <v>15</v>
      </c>
      <c r="C13" s="115" t="n">
        <v>19</v>
      </c>
      <c r="D13" s="116">
        <f>B13-C13</f>
        <v/>
      </c>
      <c r="E13" s="117" t="n">
        <v>0.01</v>
      </c>
      <c r="F13" s="117" t="n">
        <v>0.01</v>
      </c>
      <c r="G13" s="118">
        <f>E13-F13</f>
        <v/>
      </c>
    </row>
    <row r="14" ht="15" customHeight="1" s="65">
      <c r="A14" s="72" t="inlineStr">
        <is>
          <t>Sterile Processing Technician (Certificate)</t>
        </is>
      </c>
      <c r="B14" s="115" t="n">
        <v>12</v>
      </c>
      <c r="C14" s="115" t="n">
        <v>20</v>
      </c>
      <c r="D14" s="116">
        <f>B14-C14</f>
        <v/>
      </c>
      <c r="E14" s="117" t="n">
        <v>0.01</v>
      </c>
      <c r="F14" s="117" t="n">
        <v>0.01</v>
      </c>
      <c r="G14" s="118">
        <f>E14-F14</f>
        <v/>
      </c>
    </row>
    <row r="15"/>
    <row r="16" ht="15" customHeight="1" s="65">
      <c r="A16" s="85" t="inlineStr">
        <is>
          <t>Brand mentions +81 and share of voice 60.1% &gt; 63.4%. Of the nine named programs, eight declined. Only AAS in Veterinary Technology grew (+11).</t>
        </is>
      </c>
    </row>
    <row r="17" ht="15" customHeight="1" s="65">
      <c r="A17" s="67" t="inlineStr">
        <is>
          <t>Surgical tech is the loudest signal: Surgical Technology -14 and Sterile Processing -8, while three surgical tech prompts still hold position 1. Ranked well, mentioned less.</t>
        </is>
      </c>
    </row>
    <row r="18" ht="15" customHeight="1" s="65">
      <c r="A18" s="67" t="inlineStr">
        <is>
          <t>128 products tracked in total; this is the top 10. Export the full table for the program-level slide.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64" min="1" max="1"/>
    <col width="62" customWidth="1" style="64" min="2" max="2"/>
    <col width="44" customWidth="1" style="64" min="3" max="3"/>
    <col width="26" customWidth="1" style="64" min="4" max="4"/>
    <col width="7" customWidth="1" style="64" min="5" max="5"/>
    <col width="14" customWidth="1" style="64" min="6" max="6"/>
  </cols>
  <sheetData>
    <row r="1" ht="17.25" customHeight="1" s="65">
      <c r="A1" s="66" t="inlineStr">
        <is>
          <t>Monthly production checklist — Semrush Enterprise AIO</t>
        </is>
      </c>
    </row>
    <row r="2" ht="15" customHeight="1" s="65">
      <c r="A2" s="67" t="inlineStr">
        <is>
          <t>Nav paths verified against the live Enterprise AIO instance 8/2/26. This is a different product from the standard Semrush AI Visibility Toolkit — there is no 'Brand Performance' screen here.</t>
        </is>
      </c>
    </row>
    <row r="3" ht="15" customHeight="1" s="65">
      <c r="A3" s="85" t="inlineStr">
        <is>
          <t>DO NOT USE 'Share PDF'. On 8/2 it returned a trailing-30-day window (Jul 4 - Aug 2) instead of the selected July calendar month, and every count came back wrong. Screenshot the cards; use the per-widget export arrow for tabular data.</t>
        </is>
      </c>
    </row>
    <row r="4" ht="15" customHeight="1" s="65">
      <c r="A4" s="85" t="inlineStr">
        <is>
          <t>Set BOTH filters before you pull anything: date = the calendar month, Country = US. Worldwide pulls Colombian and other irrelevant markets into the topic table.</t>
        </is>
      </c>
    </row>
    <row r="5" ht="15" customHeight="1" s="65">
      <c r="A5" s="85" t="inlineStr">
        <is>
          <t>SCOPE TRAP: AI Visibility is DOMAIN-scoped (cedarvalleytech.example) and has no prompt list. Prompt Tracking and Traffic Analysis are PROJECT-scoped — the header must read 'Agency / Cedar Valley Tech'. The two sections report different universes and will never reconcile exactly.</t>
        </is>
      </c>
    </row>
    <row r="6" ht="15" customHeight="1" s="65">
      <c r="A6" s="86" t="inlineStr">
        <is>
          <t>#</t>
        </is>
      </c>
      <c r="B6" s="86" t="inlineStr">
        <is>
          <t>Step</t>
        </is>
      </c>
      <c r="C6" s="86" t="inlineStr">
        <is>
          <t>Exact nav path in AIO</t>
        </is>
      </c>
      <c r="D6" s="86" t="inlineStr">
        <is>
          <t>Deck slide it feeds</t>
        </is>
      </c>
      <c r="E6" s="86" t="inlineStr">
        <is>
          <t>Min</t>
        </is>
      </c>
      <c r="F6" s="86" t="inlineStr">
        <is>
          <t>Done</t>
        </is>
      </c>
    </row>
    <row r="7" ht="15" customHeight="1" s="65">
      <c r="A7" s="83" t="inlineStr">
        <is>
          <t>SETUP (5 min)</t>
        </is>
      </c>
      <c r="B7" s="70" t="n"/>
      <c r="C7" s="70" t="n"/>
      <c r="D7" s="70" t="n"/>
      <c r="E7" s="70" t="n"/>
      <c r="F7" s="70" t="n"/>
    </row>
    <row r="8" ht="23.25" customHeight="1" s="65">
      <c r="A8" s="72" t="n">
        <v>1</v>
      </c>
      <c r="B8" s="72" t="inlineStr">
        <is>
          <t>Duplicate last month's deck; move the prior-month appendix into the archive deck</t>
        </is>
      </c>
      <c r="C8" s="72" t="inlineStr">
        <is>
          <t>Google Drive</t>
        </is>
      </c>
      <c r="D8" s="72" t="inlineStr">
        <is>
          <t>Whole deck</t>
        </is>
      </c>
      <c r="E8" s="72" t="n">
        <v>5</v>
      </c>
      <c r="F8" s="120" t="inlineStr">
        <is>
          <t>✓ 8/2</t>
        </is>
      </c>
    </row>
    <row r="9" ht="15" customHeight="1" s="65">
      <c r="A9" s="83" t="inlineStr">
        <is>
          <t>AI VISIBILITY — the all-topic picture (20 min)</t>
        </is>
      </c>
      <c r="B9" s="70" t="n"/>
      <c r="C9" s="70" t="n"/>
      <c r="D9" s="70" t="n"/>
      <c r="E9" s="70" t="n"/>
      <c r="F9" s="70" t="n"/>
    </row>
    <row r="10" ht="23.25" customHeight="1" s="65">
      <c r="A10" s="72" t="n">
        <v>3</v>
      </c>
      <c r="B10" s="72" t="inlineStr">
        <is>
          <t>Set domain = cedarvalleytech.example, All Models, Country = US, month = the reporting month</t>
        </is>
      </c>
      <c r="C10" s="72" t="inlineStr">
        <is>
          <t>AI Visibility &gt; Visibility Overview</t>
        </is>
      </c>
      <c r="D10" s="72" t="inlineStr">
        <is>
          <t>—</t>
        </is>
      </c>
      <c r="E10" s="72" t="n">
        <v>3</v>
      </c>
      <c r="F10" s="120" t="inlineStr">
        <is>
          <t>✓ 8/2</t>
        </is>
      </c>
    </row>
    <row r="11" ht="23.25" customHeight="1" s="65">
      <c r="A11" s="72" t="n">
        <v>4</v>
      </c>
      <c r="B11" s="72" t="inlineStr">
        <is>
          <t>Screenshot the 4 KPI cards: AI Visibility, Mentions, Monthly Audience, Cited Pages</t>
        </is>
      </c>
      <c r="C11" s="72" t="inlineStr">
        <is>
          <t>AI Visibility &gt; Visibility Overview</t>
        </is>
      </c>
      <c r="D11" s="72" t="inlineStr">
        <is>
          <t>Visibility Overview</t>
        </is>
      </c>
      <c r="E11" s="72" t="n">
        <v>3</v>
      </c>
      <c r="F11" s="120" t="inlineStr">
        <is>
          <t>✓ 8/2 US</t>
        </is>
      </c>
    </row>
    <row r="12" ht="23.25" customHeight="1" s="65">
      <c r="A12" s="72" t="n">
        <v>5</v>
      </c>
      <c r="B12" s="72" t="inlineStr">
        <is>
          <t>Screenshot Mentions by Model bar chart + the Mentions/Visibility/Audience trend line</t>
        </is>
      </c>
      <c r="C12" s="72" t="inlineStr">
        <is>
          <t>AI Visibility &gt; Visibility Overview</t>
        </is>
      </c>
      <c r="D12" s="72" t="inlineStr">
        <is>
          <t>Visibility Overview</t>
        </is>
      </c>
      <c r="E12" s="72" t="n">
        <v>4</v>
      </c>
      <c r="F12" s="120" t="inlineStr">
        <is>
          <t>✓ 8/2 US</t>
        </is>
      </c>
    </row>
    <row r="13" ht="23.25" customHeight="1" s="65">
      <c r="A13" s="72" t="n">
        <v>6</v>
      </c>
      <c r="B13" s="72" t="inlineStr">
        <is>
          <t>Export Performing Topics and Topic Opportunities (export arrow, top right of table)</t>
        </is>
      </c>
      <c r="C13" s="72" t="inlineStr">
        <is>
          <t>AI Visibility &gt; Visibility Overview &gt; tabs</t>
        </is>
      </c>
      <c r="D13" s="72" t="inlineStr">
        <is>
          <t>Topic slides</t>
        </is>
      </c>
      <c r="E13" s="72" t="n">
        <v>5</v>
      </c>
      <c r="F13" s="121" t="n"/>
    </row>
    <row r="14" ht="15" customHeight="1" s="65">
      <c r="A14" s="72" t="n">
        <v>7</v>
      </c>
      <c r="B14" s="72" t="inlineStr">
        <is>
          <t>Note where competitors are beating you across the topic set</t>
        </is>
      </c>
      <c r="C14" s="72" t="inlineStr">
        <is>
          <t>AI Visibility &gt; Competitor Research</t>
        </is>
      </c>
      <c r="D14" s="72" t="inlineStr">
        <is>
          <t>Recommendations</t>
        </is>
      </c>
      <c r="E14" s="72" t="n">
        <v>5</v>
      </c>
      <c r="F14" s="121" t="n"/>
    </row>
    <row r="15" ht="15" customHeight="1" s="65">
      <c r="A15" s="83" t="inlineStr">
        <is>
          <t>PROMPT TRACKING — the managed prompt set (35 min)</t>
        </is>
      </c>
      <c r="B15" s="70" t="n"/>
      <c r="C15" s="70" t="n"/>
      <c r="D15" s="70" t="n"/>
      <c r="E15" s="70" t="n"/>
      <c r="F15" s="70" t="n"/>
    </row>
    <row r="16" ht="34.5" customHeight="1" s="65">
      <c r="A16" s="72" t="n">
        <v>9</v>
      </c>
      <c r="B16" s="72" t="inlineStr">
        <is>
          <t>Set Previous month + Compare to: Preceding period. Screenshot the 6 KPI cards ONCE PER MODEL (ChatGPT, Gemini, Google AI Overview) — the cards are model-filtered</t>
        </is>
      </c>
      <c r="C16" s="72" t="inlineStr">
        <is>
          <t>Prompt Tracking &gt; Overview</t>
        </is>
      </c>
      <c r="D16" s="72" t="inlineStr">
        <is>
          <t>Prompt Ranking</t>
        </is>
      </c>
      <c r="E16" s="72" t="n">
        <v>10</v>
      </c>
      <c r="F16" s="122" t="inlineStr">
        <is>
          <t>ChatGPT only</t>
        </is>
      </c>
    </row>
    <row r="17" ht="15" customHeight="1" s="65">
      <c r="A17" s="72" t="n">
        <v>10</v>
      </c>
      <c r="B17" s="72" t="inlineStr">
        <is>
          <t>Screenshot Performance by Model, Brand Leaderboard, Most Cited Sources</t>
        </is>
      </c>
      <c r="C17" s="72" t="inlineStr">
        <is>
          <t>Prompt Tracking &gt; Overview</t>
        </is>
      </c>
      <c r="D17" s="72" t="inlineStr">
        <is>
          <t>Prompt Ranking / Sources</t>
        </is>
      </c>
      <c r="E17" s="72" t="n">
        <v>5</v>
      </c>
      <c r="F17" s="120" t="inlineStr">
        <is>
          <t>✓ 8/2</t>
        </is>
      </c>
    </row>
    <row r="18" ht="23.25" customHeight="1" s="65">
      <c r="A18" s="72" t="n">
        <v>11</v>
      </c>
      <c r="B18" s="72" t="inlineStr">
        <is>
          <t>Export the full prompt-level table — THIS IS WHERE THE 25 TRACKED PROMPTS LIVE. Project scope must be 'Cedar Valley Tech' in the top-left selector, not the bare agency account</t>
        </is>
      </c>
      <c r="C18" s="72" t="inlineStr">
        <is>
          <t>Prompt Tracking &gt; Rankings</t>
        </is>
      </c>
      <c r="D18" s="72" t="inlineStr">
        <is>
          <t>All prompt tables + gains/losses</t>
        </is>
      </c>
      <c r="E18" s="72" t="n">
        <v>10</v>
      </c>
      <c r="F18" s="121" t="n"/>
    </row>
    <row r="19" ht="23.25" customHeight="1" s="65">
      <c r="A19" s="72" t="n">
        <v>12</v>
      </c>
      <c r="B19" s="72" t="inlineStr">
        <is>
          <t>Export the source table; note reddit.com and any non-owned domain outranking you</t>
        </is>
      </c>
      <c r="C19" s="72" t="inlineStr">
        <is>
          <t>Prompt Tracking &gt; Sources</t>
        </is>
      </c>
      <c r="D19" s="72" t="inlineStr">
        <is>
          <t>New source slide</t>
        </is>
      </c>
      <c r="E19" s="72" t="n">
        <v>5</v>
      </c>
      <c r="F19" s="121" t="n"/>
    </row>
    <row r="20" ht="15" customHeight="1" s="65">
      <c r="A20" s="72" t="n">
        <v>13</v>
      </c>
      <c r="B20" s="72" t="inlineStr">
        <is>
          <t>Export Top Concepts with positive/negative sentiment split</t>
        </is>
      </c>
      <c r="C20" s="72" t="inlineStr">
        <is>
          <t>Prompt Tracking &gt; Concepts and Sentiment</t>
        </is>
      </c>
      <c r="D20" s="72" t="inlineStr">
        <is>
          <t>New sentiment slide</t>
        </is>
      </c>
      <c r="E20" s="72" t="n">
        <v>5</v>
      </c>
      <c r="F20" s="121" t="n"/>
    </row>
    <row r="21" ht="15" customHeight="1" s="65">
      <c r="A21" s="83" t="inlineStr">
        <is>
          <t>TRAFFIC (25 min)</t>
        </is>
      </c>
      <c r="B21" s="70" t="n"/>
      <c r="C21" s="70" t="n"/>
      <c r="D21" s="70" t="n"/>
      <c r="E21" s="70" t="n"/>
      <c r="F21" s="70" t="n"/>
    </row>
    <row r="22" ht="34.5" customHeight="1" s="65">
      <c r="A22" s="72" t="n">
        <v>15</v>
      </c>
      <c r="B22" s="72" t="inlineStr">
        <is>
          <t>Set Previous month + Compare to: Preceding period. Screenshot the 4 KPI cards (Traffic, Conversions, Revenue, Bounce Rate), Traffic by Model and Traffic by Host</t>
        </is>
      </c>
      <c r="C22" s="72" t="inlineStr">
        <is>
          <t>Traffic Analysis &gt; AI Referral Traffic (GA)</t>
        </is>
      </c>
      <c r="D22" s="72" t="inlineStr">
        <is>
          <t>Traffic Reporting</t>
        </is>
      </c>
      <c r="E22" s="72" t="n">
        <v>6</v>
      </c>
      <c r="F22" s="120" t="inlineStr">
        <is>
          <t>✓ 8/2</t>
        </is>
      </c>
    </row>
    <row r="23" ht="23.25" customHeight="1" s="65">
      <c r="A23" s="72" t="n">
        <v>16</v>
      </c>
      <c r="B23" s="72" t="inlineStr">
        <is>
          <t>Export Landing Page Performance (AI) — AI sessions and AI conversions per URL, split by model. 276 rows in July</t>
        </is>
      </c>
      <c r="C23" s="72" t="inlineStr">
        <is>
          <t>Traffic Analysis &gt; AI Referral Traffic (GA)</t>
        </is>
      </c>
      <c r="D23" s="72" t="inlineStr">
        <is>
          <t>Traffic Reporting</t>
        </is>
      </c>
      <c r="E23" s="72" t="n">
        <v>6</v>
      </c>
      <c r="F23" s="121" t="inlineStr">
        <is>
          <t>REDO</t>
        </is>
      </c>
    </row>
    <row r="24" ht="23.25" customHeight="1" s="65">
      <c r="A24" s="72" t="n">
        <v>17</v>
      </c>
      <c r="B24" s="72" t="inlineStr">
        <is>
          <t>Screenshot Traffic over Time (Last 6 months, Month). NOTE: the current month renders as a near-zero cliff until it completes — crop it or explain it</t>
        </is>
      </c>
      <c r="C24" s="72" t="inlineStr">
        <is>
          <t>Traffic Analysis &gt; AI Referral Traffic (GA)</t>
        </is>
      </c>
      <c r="D24" s="72" t="inlineStr">
        <is>
          <t>Traffic Reporting</t>
        </is>
      </c>
      <c r="E24" s="72" t="n">
        <v>4</v>
      </c>
      <c r="F24" s="121" t="n"/>
    </row>
    <row r="25" ht="15" customHeight="1" s="65">
      <c r="A25" s="83" t="inlineStr">
        <is>
          <t>LOAD + ANALYSE (45 min)</t>
        </is>
      </c>
      <c r="B25" s="70" t="n"/>
      <c r="C25" s="70" t="n"/>
      <c r="D25" s="70" t="n"/>
      <c r="E25" s="70" t="n"/>
      <c r="F25" s="70" t="n"/>
    </row>
    <row r="26" ht="23.25" customHeight="1" s="65">
      <c r="A26" s="72" t="n">
        <v>19</v>
      </c>
      <c r="B26" s="72" t="inlineStr">
        <is>
          <t>Paste every figure into the Metrics tab; paste the Rankings export into Prompt Tracking</t>
        </is>
      </c>
      <c r="C26" s="72" t="inlineStr">
        <is>
          <t>This workbook</t>
        </is>
      </c>
      <c r="D26" s="72" t="inlineStr">
        <is>
          <t>—</t>
        </is>
      </c>
      <c r="E26" s="72" t="n">
        <v>15</v>
      </c>
      <c r="F26" s="121" t="n"/>
    </row>
    <row r="27" ht="23.25" customHeight="1" s="65">
      <c r="A27" s="72" t="n">
        <v>20</v>
      </c>
      <c r="B27" s="72" t="inlineStr">
        <is>
          <t>Read the Deltas tab. Reconcile the all-topic trend against the tracked-prompt trend — when they diverge, that divergence IS the headline</t>
        </is>
      </c>
      <c r="C27" s="72" t="inlineStr">
        <is>
          <t>This workbook</t>
        </is>
      </c>
      <c r="D27" s="72" t="inlineStr">
        <is>
          <t>The Headlines</t>
        </is>
      </c>
      <c r="E27" s="72" t="n">
        <v>10</v>
      </c>
      <c r="F27" s="121" t="n"/>
    </row>
    <row r="28" ht="23.25" customHeight="1" s="65">
      <c r="A28" s="72" t="n">
        <v>21</v>
      </c>
      <c r="B28" s="72" t="inlineStr">
        <is>
          <t>Sort Prompt Tracking by Status for wins, losses, drop-outs and new entries (agency contact, 7/22)</t>
        </is>
      </c>
      <c r="C28" s="72" t="inlineStr">
        <is>
          <t>This workbook</t>
        </is>
      </c>
      <c r="D28" s="72" t="inlineStr">
        <is>
          <t>Notable Gains / Losses</t>
        </is>
      </c>
      <c r="E28" s="72" t="n">
        <v>10</v>
      </c>
      <c r="F28" s="121" t="n"/>
    </row>
    <row r="29" ht="15" customHeight="1" s="65">
      <c r="A29" s="72" t="n">
        <v>22</v>
      </c>
      <c r="B29" s="72" t="inlineStr">
        <is>
          <t>Log anything that breaks month-over-month comparability</t>
        </is>
      </c>
      <c r="C29" s="72" t="inlineStr">
        <is>
          <t>Change Log tab</t>
        </is>
      </c>
      <c r="D29" s="72" t="inlineStr">
        <is>
          <t>Footnote</t>
        </is>
      </c>
      <c r="E29" s="72" t="n">
        <v>5</v>
      </c>
      <c r="F29" s="121" t="n"/>
    </row>
    <row r="30" ht="15" customHeight="1" s="65">
      <c r="A30" s="72" t="n">
        <v>23</v>
      </c>
      <c r="B30" s="72" t="inlineStr">
        <is>
          <t>Draft 5-7 headline bullets</t>
        </is>
      </c>
      <c r="C30" s="72" t="inlineStr">
        <is>
          <t>—</t>
        </is>
      </c>
      <c r="D30" s="72" t="inlineStr">
        <is>
          <t>The Headlines</t>
        </is>
      </c>
      <c r="E30" s="72" t="n">
        <v>5</v>
      </c>
      <c r="F30" s="121" t="n"/>
    </row>
    <row r="31" ht="15" customHeight="1" s="65">
      <c r="A31" s="83" t="inlineStr">
        <is>
          <t>BUILD (60 min)</t>
        </is>
      </c>
      <c r="B31" s="70" t="n"/>
      <c r="C31" s="70" t="n"/>
      <c r="D31" s="70" t="n"/>
      <c r="E31" s="70" t="n"/>
      <c r="F31" s="70" t="n"/>
    </row>
    <row r="32" ht="15" customHeight="1" s="65">
      <c r="A32" s="72" t="n">
        <v>25</v>
      </c>
      <c r="B32" s="72" t="inlineStr">
        <is>
          <t>Reshow the tracked prompt list up front as a discussion point (agency contact, 7/22)</t>
        </is>
      </c>
      <c r="C32" s="72" t="inlineStr">
        <is>
          <t>Prompt Tracking tab</t>
        </is>
      </c>
      <c r="D32" s="72" t="inlineStr">
        <is>
          <t>New slide 2</t>
        </is>
      </c>
      <c r="E32" s="72" t="n">
        <v>10</v>
      </c>
      <c r="F32" s="121" t="n"/>
    </row>
    <row r="33" ht="15" customHeight="1" s="65">
      <c r="A33" s="72" t="n">
        <v>26</v>
      </c>
      <c r="B33" s="72" t="inlineStr">
        <is>
          <t>Update all chart images and data callouts</t>
        </is>
      </c>
      <c r="C33" s="72" t="inlineStr">
        <is>
          <t>—</t>
        </is>
      </c>
      <c r="D33" s="72" t="inlineStr">
        <is>
          <t>All data slides</t>
        </is>
      </c>
      <c r="E33" s="72" t="n">
        <v>25</v>
      </c>
      <c r="F33" s="121" t="n"/>
    </row>
    <row r="34" ht="15" customHeight="1" s="65">
      <c r="A34" s="72" t="n">
        <v>27</v>
      </c>
      <c r="B34" s="72" t="inlineStr">
        <is>
          <t>Write recommendations, each tied to a specific decline or gap</t>
        </is>
      </c>
      <c r="C34" s="72" t="inlineStr">
        <is>
          <t>—</t>
        </is>
      </c>
      <c r="D34" s="72" t="inlineStr">
        <is>
          <t>Recommended Optimizations</t>
        </is>
      </c>
      <c r="E34" s="72" t="n">
        <v>20</v>
      </c>
      <c r="F34" s="121" t="n"/>
    </row>
    <row r="35" ht="15" customHeight="1" s="65">
      <c r="A35" s="72" t="n">
        <v>28</v>
      </c>
      <c r="B35" s="72" t="inlineStr">
        <is>
          <t>Update Ongoing Optimizations and Looking Ahead</t>
        </is>
      </c>
      <c r="C35" s="72" t="inlineStr">
        <is>
          <t>—</t>
        </is>
      </c>
      <c r="D35" s="72" t="inlineStr">
        <is>
          <t>Final section</t>
        </is>
      </c>
      <c r="E35" s="72" t="n">
        <v>5</v>
      </c>
      <c r="F35" s="121" t="n"/>
    </row>
    <row r="36" ht="15" customHeight="1" s="65">
      <c r="A36" s="83" t="inlineStr">
        <is>
          <t>QA (20 min)</t>
        </is>
      </c>
      <c r="B36" s="70" t="n"/>
      <c r="C36" s="70" t="n"/>
      <c r="D36" s="70" t="n"/>
      <c r="E36" s="70" t="n"/>
      <c r="F36" s="70" t="n"/>
    </row>
    <row r="37" ht="15" customHeight="1" s="65">
      <c r="A37" s="72" t="n">
        <v>30</v>
      </c>
      <c r="B37" s="72" t="inlineStr">
        <is>
          <t>Verify every number in the deck against the Metrics tab</t>
        </is>
      </c>
      <c r="C37" s="72" t="inlineStr">
        <is>
          <t>This workbook</t>
        </is>
      </c>
      <c r="D37" s="72" t="inlineStr">
        <is>
          <t>All</t>
        </is>
      </c>
      <c r="E37" s="72" t="n">
        <v>8</v>
      </c>
      <c r="F37" s="121" t="n"/>
    </row>
    <row r="38" ht="23.25" customHeight="1" s="65">
      <c r="A38" s="72" t="n">
        <v>31</v>
      </c>
      <c r="B38" s="72" t="inlineStr">
        <is>
          <t>Direction check: position DOWN = better. Bounce rate UP = worse. Never group them under 'up'</t>
        </is>
      </c>
      <c r="C38" s="72" t="inlineStr">
        <is>
          <t>—</t>
        </is>
      </c>
      <c r="D38" s="72" t="inlineStr">
        <is>
          <t>All</t>
        </is>
      </c>
      <c r="E38" s="72" t="n">
        <v>4</v>
      </c>
      <c r="F38" s="121" t="n"/>
    </row>
    <row r="39" ht="15" customHeight="1" s="65">
      <c r="A39" s="72" t="n">
        <v>32</v>
      </c>
      <c r="B39" s="72" t="inlineStr">
        <is>
          <t>Confirm every stated metric names its model and its comparison basis</t>
        </is>
      </c>
      <c r="C39" s="72" t="inlineStr">
        <is>
          <t>—</t>
        </is>
      </c>
      <c r="D39" s="72" t="inlineStr">
        <is>
          <t>All</t>
        </is>
      </c>
      <c r="E39" s="72" t="n">
        <v>5</v>
      </c>
      <c r="F39" s="121" t="n"/>
    </row>
    <row r="40" ht="15" customHeight="1" s="65">
      <c r="A40" s="72" t="n">
        <v>33</v>
      </c>
      <c r="B40" s="72" t="inlineStr">
        <is>
          <t>Confirm the reporting period on the cover matches what you actually pulled</t>
        </is>
      </c>
      <c r="C40" s="72" t="inlineStr">
        <is>
          <t>—</t>
        </is>
      </c>
      <c r="D40" s="72" t="inlineStr">
        <is>
          <t>Cover</t>
        </is>
      </c>
      <c r="E40" s="72" t="n">
        <v>3</v>
      </c>
      <c r="F40" s="121" t="n"/>
    </row>
    <row r="41"/>
    <row r="42" ht="15" customHeight="1" s="65">
      <c r="B42" s="93" t="inlineStr">
        <is>
          <t>TOTAL (minutes)</t>
        </is>
      </c>
      <c r="E42" s="93">
        <f>SUM(E7:E40)</f>
        <v/>
      </c>
    </row>
    <row r="43" ht="15" customHeight="1" s="65">
      <c r="B43" s="93" t="inlineStr">
        <is>
          <t>TOTAL (hours)</t>
        </is>
      </c>
      <c r="E43" s="123">
        <f>E42/60</f>
        <v/>
      </c>
    </row>
    <row r="44"/>
    <row r="45" ht="15" customHeight="1" s="65">
      <c r="B45" s="67" t="inlineStr">
        <is>
          <t>Excludes the two 30-min meetings. Month one runs well past this — you are learning the tool, resolving the conversion definition and backfilling this workbook.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64" min="1" max="1"/>
    <col width="58" customWidth="1" style="64" min="2" max="2"/>
    <col width="26" customWidth="1" style="64" min="3" max="3"/>
    <col width="58" customWidth="1" style="64" min="4" max="4"/>
    <col width="16" customWidth="1" style="64" min="5" max="5"/>
  </cols>
  <sheetData>
    <row r="1" ht="17.25" customHeight="1" s="65">
      <c r="A1" s="66" t="inlineStr">
        <is>
          <t>Platform &amp; methodology change log</t>
        </is>
      </c>
    </row>
    <row r="2" ht="15" customHeight="1" s="65">
      <c r="A2" s="67" t="inlineStr">
        <is>
          <t>The SOW obliges you to identify platform changes and explain their significance to the agency and the client. This is that record — and your defence when a metric moves for a reason that is not performance.</t>
        </is>
      </c>
    </row>
    <row r="3"/>
    <row r="4" ht="23.25" customHeight="1" s="65">
      <c r="A4" s="86" t="inlineStr">
        <is>
          <t>Date</t>
        </is>
      </c>
      <c r="B4" s="86" t="inlineStr">
        <is>
          <t>What changed</t>
        </is>
      </c>
      <c r="C4" s="86" t="inlineStr">
        <is>
          <t>Source</t>
        </is>
      </c>
      <c r="D4" s="86" t="inlineStr">
        <is>
          <t>Effect on this report</t>
        </is>
      </c>
      <c r="E4" s="86" t="inlineStr">
        <is>
          <t>Comparability broken?</t>
        </is>
      </c>
    </row>
    <row r="5" ht="45.75" customHeight="1" s="65">
      <c r="A5" s="72" t="inlineStr">
        <is>
          <t>2026-05-07</t>
        </is>
      </c>
      <c r="B5" s="72" t="inlineStr">
        <is>
          <t>Google stopped showing FAQ rich results. Search appearance, rich result report and Rich Results Test support dropped June 2026. Google: unused structured data causes no problems and FAQPage remains a valid Schema.org type.</t>
        </is>
      </c>
      <c r="C5" s="72" t="inlineStr">
        <is>
          <t>Google Search Central via Search Engine Journal</t>
        </is>
      </c>
      <c r="D5" s="72" t="inlineStr">
        <is>
          <t>Reframes the June recommendation 'Add FAQ schema to program pages'. Keep the markup — it is now a machine-parseability play for LLM extraction, not a SERP real-estate play.</t>
        </is>
      </c>
      <c r="E5" s="72" t="inlineStr">
        <is>
          <t>No</t>
        </is>
      </c>
    </row>
    <row r="6" ht="23.25" customHeight="1" s="65">
      <c r="A6" s="72" t="inlineStr">
        <is>
          <t>2026-05-07</t>
        </is>
      </c>
      <c r="B6" s="72" t="inlineStr">
        <is>
          <t>Semrush Enterprise AIO added Reddit source tracking and negative sentiment analysis.</t>
        </is>
      </c>
      <c r="C6" s="72" t="inlineStr">
        <is>
          <t>Semrush product releases</t>
        </is>
      </c>
      <c r="D6" s="72" t="inlineStr">
        <is>
          <t>Two new metrics available that no prior report contains. Strong candidate for the new-data obligation in the SOW.</t>
        </is>
      </c>
      <c r="E6" s="72" t="inlineStr">
        <is>
          <t>No — additive</t>
        </is>
      </c>
    </row>
    <row r="7" ht="34.5" customHeight="1" s="65">
      <c r="A7" s="72" t="inlineStr">
        <is>
          <t>2026-05-14</t>
        </is>
      </c>
      <c r="B7" s="72" t="inlineStr">
        <is>
          <t>Semrush AI Visibility database expanded to 32 countries / 17 new regional markets; prompt database grew to 261M+ prompts.</t>
        </is>
      </c>
      <c r="C7" s="72" t="inlineStr">
        <is>
          <t>Semrush product releases</t>
        </is>
      </c>
      <c r="D7" s="72" t="inlineStr">
        <is>
          <t>VERIFY: a larger prompt universe can shift the denominator behind the proprietary AI Visibility score. Check whether the score's basis changed before presenting any MoM move as performance.</t>
        </is>
      </c>
      <c r="E7" s="72" t="inlineStr">
        <is>
          <t>VERIFY</t>
        </is>
      </c>
    </row>
    <row r="8" ht="23.25" customHeight="1" s="65">
      <c r="A8" s="72" t="inlineStr">
        <is>
          <t>2026-06-11</t>
        </is>
      </c>
      <c r="B8" s="72" t="inlineStr">
        <is>
          <t>Traffic Insights added to Traffic Analytics — flags competitor traffic swings and causes.</t>
        </is>
      </c>
      <c r="C8" s="72" t="inlineStr">
        <is>
          <t>Semrush product releases</t>
        </is>
      </c>
      <c r="D8" s="72" t="inlineStr">
        <is>
          <t>Possible future slide: benchmark the client against peer community colleges.</t>
        </is>
      </c>
      <c r="E8" s="72" t="inlineStr">
        <is>
          <t>No</t>
        </is>
      </c>
    </row>
    <row r="9" ht="34.5" customHeight="1" s="65">
      <c r="A9" s="72" t="inlineStr">
        <is>
          <t>2026-06-26</t>
        </is>
      </c>
      <c r="B9" s="72" t="inlineStr">
        <is>
          <t>Semrush published the 2026 AI Visibility Index — 126M US prompts, Jan–Apr 2026. ChatGPT cites ~15 sources per response; Gemini cites ~3. 22 industries benchmarked; higher ed not among them.</t>
        </is>
      </c>
      <c r="C9" s="72" t="inlineStr">
        <is>
          <t>Semrush news</t>
        </is>
      </c>
      <c r="D9" s="72" t="inlineStr">
        <is>
          <t>Explains the central tension in the June deck — AI Overviews drives visibility while ChatGPT drives traffic. Citation density is why. Use as the insight on the traffic slide.</t>
        </is>
      </c>
      <c r="E9" s="72" t="inlineStr">
        <is>
          <t>No</t>
        </is>
      </c>
    </row>
    <row r="10" ht="15" customHeight="1" s="65">
      <c r="A10" s="119" t="inlineStr">
        <is>
          <t>2026-08-02</t>
        </is>
      </c>
      <c r="B10" s="119" t="inlineStr">
        <is>
          <t>AIO 'Share PDF' export ignores the selected date filter. With 'Previous month' (Jul 1-31) set on screen, the PDF returned Jul 4 - Aug 2 — a trailing 30 days from the export date. Every count differed: brand mentioned 652 vs 631, domain cited 471 vs 452, Gemini mentions 738 vs 712.</t>
        </is>
      </c>
      <c r="C10" s="119" t="inlineStr">
        <is>
          <t>Observed in the agency's instance</t>
        </is>
      </c>
      <c r="D10" s="119" t="inlineStr">
        <is>
          <t>Never source deck figures from the PDF export. Screenshot the cards; use the per-widget export arrow for tables.</t>
        </is>
      </c>
      <c r="E10" s="119" t="inlineStr">
        <is>
          <t>N/A — tool bug</t>
        </is>
      </c>
    </row>
    <row r="11" ht="34.5" customHeight="1" s="65">
      <c r="A11" s="72" t="inlineStr">
        <is>
          <t>2026-08-02</t>
        </is>
      </c>
      <c r="B11" s="72" t="inlineStr">
        <is>
          <t>Prompt Tracking KPI cards are model-filtered. The July pull was taken with ChatGPT selected, so SoV 73% / Brand Visibility 83% / Source Visibility 63% are ChatGPT-only, not blended.</t>
        </is>
      </c>
      <c r="C11" s="72" t="inlineStr">
        <is>
          <t>Observed in the agency's instance</t>
        </is>
      </c>
      <c r="D11" s="72" t="inlineStr">
        <is>
          <t>Every visibility figure in the deck must name its model. Prior decks reported single numbers with no model stated.</t>
        </is>
      </c>
      <c r="E11" s="72" t="inlineStr">
        <is>
          <t>VERIFY prior months</t>
        </is>
      </c>
    </row>
    <row r="12" ht="34.5" customHeight="1" s="65">
      <c r="A12" s="72" t="inlineStr">
        <is>
          <t>2026-08-02</t>
        </is>
      </c>
      <c r="B12" s="72" t="inlineStr">
        <is>
          <t>AI Visibility pulled on Country = Worldwide, which admits irrelevant markets — a Colombian row appears in the July Performing Topics table.</t>
        </is>
      </c>
      <c r="C12" s="72" t="inlineStr">
        <is>
          <t>Observed in the agency's instance</t>
        </is>
      </c>
      <c r="D12" s="72" t="inlineStr">
        <is>
          <t>Re-pull with Country = US before comparing July's AI Visibility score of 25 to the 41 reported in Mar and May.</t>
        </is>
      </c>
      <c r="E12" s="72" t="inlineStr">
        <is>
          <t>VERIFY</t>
        </is>
      </c>
    </row>
    <row r="13" ht="45.75" customHeight="1" s="65">
      <c r="A13" s="72" t="inlineStr">
        <is>
          <t>2026-08-02</t>
        </is>
      </c>
      <c r="B13" s="72" t="inlineStr">
        <is>
          <t>GA4 key events are concentrated on one page: 7,912 of 10,690 site-wide (74%) fire on /apply/steps-to-apply/ at 0.88 per view.</t>
        </is>
      </c>
      <c r="C13" s="72" t="inlineStr">
        <is>
          <t>GA4 Pages and screens export, Jul 1-31</t>
        </is>
      </c>
      <c r="D13" s="72" t="inlineStr">
        <is>
          <t>A 0.88 events-per-view rate is a page-level trigger, not an application submit. If the deck's 'conversions' = key events, the metric is a page-view proxy and the June deck's +111% needs re-reading. Answers the agency contact's 7/22 question.</t>
        </is>
      </c>
      <c r="E13" s="72" t="inlineStr">
        <is>
          <t>VERIFY</t>
        </is>
      </c>
    </row>
    <row r="14" ht="15" customHeight="1" s="65">
      <c r="A14" s="119" t="inlineStr">
        <is>
          <t>2026-08-02</t>
        </is>
      </c>
      <c r="B14" s="119" t="inlineStr">
        <is>
          <t>AI Visibility on Country=US returns 34 for July; the same pull on Worldwide returns 22. Performing topics: 397 US vs 512 Worldwide.</t>
        </is>
      </c>
      <c r="C14" s="119" t="inlineStr">
        <is>
          <t>Observed in the agency's instance</t>
        </is>
      </c>
      <c r="D14" s="119" t="inlineStr">
        <is>
          <t>Always pull US. The Worldwide figure is not comparable to the 39 reported in March and May. Confirm which country setting those earlier reports used.</t>
        </is>
      </c>
      <c r="E14" s="119" t="inlineStr">
        <is>
          <t>VERIFY prior months</t>
        </is>
      </c>
    </row>
    <row r="15" ht="34.5" customHeight="1" s="65">
      <c r="A15" s="72" t="inlineStr">
        <is>
          <t>2026-08-02</t>
        </is>
      </c>
      <c r="B15" s="72" t="inlineStr">
        <is>
          <t>AI conversions exceed AI sessions on /apply/apply-now/ — 47 conversions on 26 sessions.</t>
        </is>
      </c>
      <c r="C15" s="72" t="inlineStr">
        <is>
          <t>Traffic Analysis &gt; AI Referral Traffic (GA), Landing Page Performance, Jul 1-31</t>
        </is>
      </c>
      <c r="D15" s="72" t="inlineStr">
        <is>
          <t>Definitive: the conversion event fires more than once per session. The metric counts events, not applicants. Report it as 'conversion events' with a footnote, or suppress it until the GA4 event is redefined.</t>
        </is>
      </c>
      <c r="E15" s="72" t="inlineStr">
        <is>
          <t>YES</t>
        </is>
      </c>
    </row>
    <row r="16" ht="34.5" customHeight="1" s="65">
      <c r="A16" s="72" t="inlineStr">
        <is>
          <t>2026-08-02</t>
        </is>
      </c>
      <c r="B16" s="72" t="inlineStr">
        <is>
          <t>Semrush has the GA connection integrated at Traffic Analysis &gt; AI Referral Traffic (GA), with traffic, conversions, bounce rate, model split and an AI-only landing page table.</t>
        </is>
      </c>
      <c r="C16" s="72" t="inlineStr">
        <is>
          <t>Observed in the agency's instance</t>
        </is>
      </c>
      <c r="D16" s="72" t="inlineStr">
        <is>
          <t>Removes the manual GA4 segment build from the monthly workflow — saves roughly 20 minutes.</t>
        </is>
      </c>
      <c r="E16" s="72" t="inlineStr">
        <is>
          <t>No</t>
        </is>
      </c>
    </row>
    <row r="17" ht="34.5" customHeight="1" s="65">
      <c r="A17" s="72" t="inlineStr">
        <is>
          <t>2026-08-02</t>
        </is>
      </c>
      <c r="B17" s="72" t="inlineStr">
        <is>
          <t>AI Referral Traffic (Adobe) and Agent Analytics appear in the nav with padlocks.</t>
        </is>
      </c>
      <c r="C17" s="72" t="inlineStr">
        <is>
          <t>Observed in the agency's instance</t>
        </is>
      </c>
      <c r="D17" s="72" t="inlineStr">
        <is>
          <t>Not on the agency's current entitlement. Worth a line on the Looking Ahead slide and a question to the agency contact about whether the Adobe integration is coming.</t>
        </is>
      </c>
      <c r="E17" s="72" t="inlineStr">
        <is>
          <t>No</t>
        </is>
      </c>
    </row>
    <row r="18" ht="15" customHeight="1" s="65">
      <c r="A18" s="119" t="inlineStr">
        <is>
          <t>2026-08-02</t>
        </is>
      </c>
      <c r="B18" s="119" t="inlineStr">
        <is>
          <t>Prompt Rankings CSV export silently dropped two of three selected models. The UI filter showed Google AI Overview + ChatGPT + Gemini and the table paginated 149 rows, but the first export returned 50 ChatGPT-only rows. A second export returned all 149.</t>
        </is>
      </c>
      <c r="C18" s="119" t="inlineStr">
        <is>
          <t>Observed in the agency's instance</t>
        </is>
      </c>
      <c r="D18" s="119" t="inlineStr">
        <is>
          <t>Check the Model column and the row count of every export before using it. 25 prompts x 3 models x 2 periods should be 150 rows.</t>
        </is>
      </c>
      <c r="E18" s="119" t="inlineStr">
        <is>
          <t>N/A — tool bug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Ryan Craggs</dc:creator>
  <dc:language xmlns:dc="http://purl.org/dc/elements/1.1/">en-US</dc:language>
  <dcterms:created xmlns:dcterms="http://purl.org/dc/terms/" xmlns:xsi="http://www.w3.org/2001/XMLSchema-instance" xsi:type="dcterms:W3CDTF">2026-07-31T16:13:28Z</dcterms:created>
  <dcterms:modified xmlns:dcterms="http://purl.org/dc/terms/" xmlns:xsi="http://www.w3.org/2001/XMLSchema-instance" xsi:type="dcterms:W3CDTF">2026-10-14T18:18:46Z</dcterms:modified>
  <cp:revision>0</cp:revision>
</cp:coreProperties>
</file>